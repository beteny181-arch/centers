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w\شركة الاخلاص\تحليل مراكز\من 17-10 الى 22-10\"/>
    </mc:Choice>
  </mc:AlternateContent>
  <xr:revisionPtr revIDLastSave="0" documentId="13_ncr:1_{D4E35344-DD56-4DAA-81E2-7FA5E7CB6D87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لوحة الملخص" sheetId="1" r:id="rId1"/>
    <sheet name="ملخص" sheetId="2" r:id="rId2"/>
    <sheet name="تفاصيل المراكز" sheetId="3" r:id="rId3"/>
    <sheet name="ملخص العملاء" sheetId="4" r:id="rId4"/>
    <sheet name="العملاء × المراكز" sheetId="5" r:id="rId5"/>
    <sheet name="تفاصيل العملاء" sheetId="6" r:id="rId6"/>
  </sheets>
  <definedNames>
    <definedName name="_xlnm._FilterDatabase" localSheetId="4" hidden="1">'العملاء × المراكز'!$A$4:$J$44</definedName>
    <definedName name="_xlnm._FilterDatabase" localSheetId="5" hidden="1">'تفاصيل العملاء'!$A$4:$F$164</definedName>
    <definedName name="_xlnm._FilterDatabase" localSheetId="2" hidden="1">'تفاصيل المراكز'!$A$4:$F$82</definedName>
    <definedName name="_xlnm._FilterDatabase" localSheetId="1" hidden="1">ملخص!$A$7:$H$37</definedName>
    <definedName name="_xlnm._FilterDatabase" localSheetId="3" hidden="1">'ملخص العملاء'!$A$4:$H$9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5" l="1"/>
  <c r="K44" i="5" s="1"/>
  <c r="J33" i="5"/>
  <c r="J32" i="5"/>
  <c r="J30" i="5"/>
  <c r="J29" i="5"/>
  <c r="K29" i="5" s="1"/>
  <c r="J28" i="5"/>
  <c r="J26" i="5"/>
  <c r="J18" i="5"/>
  <c r="K18" i="5" s="1"/>
  <c r="I6" i="4"/>
  <c r="J6" i="4" s="1"/>
  <c r="J7" i="4"/>
  <c r="I8" i="4"/>
  <c r="J8" i="4" s="1"/>
  <c r="I5" i="4"/>
  <c r="J5" i="4" s="1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9" i="5"/>
  <c r="K20" i="5"/>
  <c r="K21" i="5"/>
  <c r="K22" i="5"/>
  <c r="K23" i="5"/>
  <c r="K24" i="5"/>
  <c r="K25" i="5"/>
  <c r="K26" i="5"/>
  <c r="K27" i="5"/>
  <c r="K28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J9" i="4" l="1"/>
  <c r="I9" i="4"/>
</calcChain>
</file>

<file path=xl/sharedStrings.xml><?xml version="1.0" encoding="utf-8"?>
<sst xmlns="http://schemas.openxmlformats.org/spreadsheetml/2006/main" count="1233" uniqueCount="286">
  <si>
    <t>بيان العملاء ومراكز التكلفة (أيام العمل والتواريخ)</t>
  </si>
  <si>
    <t>عدد الصفوف: 39</t>
  </si>
  <si>
    <t>العميل</t>
  </si>
  <si>
    <t>مركز التكلفة</t>
  </si>
  <si>
    <t>عدد الفواتير</t>
  </si>
  <si>
    <t>أيام العمل</t>
  </si>
  <si>
    <t>أول فاتورة</t>
  </si>
  <si>
    <t>آخر فاتورة</t>
  </si>
  <si>
    <t>الكمية</t>
  </si>
  <si>
    <t>القيمة</t>
  </si>
  <si>
    <t>المصروفات</t>
  </si>
  <si>
    <t>شركة الرواسخ (فوسفات مصر)4</t>
  </si>
  <si>
    <t>بلدوزر 7</t>
  </si>
  <si>
    <t>2026-10-17</t>
  </si>
  <si>
    <t>2026-10-20</t>
  </si>
  <si>
    <t>لودر 12</t>
  </si>
  <si>
    <t>2026-10-16</t>
  </si>
  <si>
    <t>لودر2</t>
  </si>
  <si>
    <t>كاتر 6</t>
  </si>
  <si>
    <t>لودر5</t>
  </si>
  <si>
    <t>2026-10-19</t>
  </si>
  <si>
    <t>سيارة12</t>
  </si>
  <si>
    <t>فولفو4</t>
  </si>
  <si>
    <t>سيارة15</t>
  </si>
  <si>
    <t>سيارة13</t>
  </si>
  <si>
    <t>سيارة19</t>
  </si>
  <si>
    <t>سيارة18</t>
  </si>
  <si>
    <t>سيارة10</t>
  </si>
  <si>
    <t>سيارة14</t>
  </si>
  <si>
    <t>حفار ش محمود</t>
  </si>
  <si>
    <t>2026-10-18</t>
  </si>
  <si>
    <t>طنبر 1</t>
  </si>
  <si>
    <t>حفار 11</t>
  </si>
  <si>
    <t>فولفو3</t>
  </si>
  <si>
    <t>سيارة2</t>
  </si>
  <si>
    <t>شركة الرواسخ( الشركة الصينية )</t>
  </si>
  <si>
    <t>كاتر8</t>
  </si>
  <si>
    <t>حفار 10 (دوسان 300)</t>
  </si>
  <si>
    <t>دوسان300(1)</t>
  </si>
  <si>
    <t>لودر 80 G ايجار (ش محمد جمعة)</t>
  </si>
  <si>
    <t>حفار 14</t>
  </si>
  <si>
    <t>6394 ايجار ش محمد جمعة</t>
  </si>
  <si>
    <t>6837 ايجار ش محمد جمعة</t>
  </si>
  <si>
    <t>3596 ايجار ش محمد جمعة</t>
  </si>
  <si>
    <t>555 ايجار ش محمد جمعة</t>
  </si>
  <si>
    <t>2349 سيارة ايجار عادل حافظ</t>
  </si>
  <si>
    <t>م مهمات للمقاولين</t>
  </si>
  <si>
    <t>مركز رئيسي</t>
  </si>
  <si>
    <t>شركة الرواسخ (فوسفات مصر)3</t>
  </si>
  <si>
    <t>الإجمالي</t>
  </si>
  <si>
    <t>لوحة تحليل مراكز التكلفة</t>
  </si>
  <si>
    <t>تقرير مُنسق · ٢٤‏/١٠‏/٢٠٢٦، ١١:٤٦:٢٩ ص</t>
  </si>
  <si>
    <t>إجمالي القيمة</t>
  </si>
  <si>
    <t>إجمالي الكمية</t>
  </si>
  <si>
    <t>مراكز التكلفة</t>
  </si>
  <si>
    <t>أيام العمل (تراكمي)</t>
  </si>
  <si>
    <t>الفترة</t>
  </si>
  <si>
    <t>2026-10-16 → 2026-10-20</t>
  </si>
  <si>
    <t>ملاحظات</t>
  </si>
  <si>
    <t>• الأرقام باللون الأحمر تشير إلى قيم سالبة.</t>
  </si>
  <si>
    <t>• استخدم عوامل التصفية أعلى كل جدول للبحث والفرز داخل التقرير.</t>
  </si>
  <si>
    <t>ملخص مراكز التكلفة</t>
  </si>
  <si>
    <t>عدد المراكز: 29 · إجمالي القيمة: ١٬٨٤٢٬٥٩٧٫٥</t>
  </si>
  <si>
    <t>المراكز</t>
  </si>
  <si>
    <t>عدد الأصناف</t>
  </si>
  <si>
    <t>أول يوم</t>
  </si>
  <si>
    <t>آخر يوم</t>
  </si>
  <si>
    <t>تفاصيل الأصناف داخل مراكز التكلفة</t>
  </si>
  <si>
    <t>عدد الصفوف: 77</t>
  </si>
  <si>
    <t>الصنف</t>
  </si>
  <si>
    <t>أرقام الفواتير</t>
  </si>
  <si>
    <t>طفلة لوادر</t>
  </si>
  <si>
    <t>v16437, v16447, v16467, v16520, v16598</t>
  </si>
  <si>
    <t>خامة لوادر</t>
  </si>
  <si>
    <t>v16455, v16487, v16536, v16612</t>
  </si>
  <si>
    <t>تشغيل معدة</t>
  </si>
  <si>
    <t>v16427, v16474, v16523, v16600</t>
  </si>
  <si>
    <t>سولار - ابوطرطور</t>
  </si>
  <si>
    <t>v16345, v16420, v16492</t>
  </si>
  <si>
    <t>كاوتش 24 بريللي TQ</t>
  </si>
  <si>
    <t>v16429</t>
  </si>
  <si>
    <t>شل اسود</t>
  </si>
  <si>
    <t>شل ابيض 20ك</t>
  </si>
  <si>
    <t>v16614</t>
  </si>
  <si>
    <t>شحم روفان</t>
  </si>
  <si>
    <t>v16419, v16547</t>
  </si>
  <si>
    <t>زيت موتور ابسكو (بديل كوب فاكت)</t>
  </si>
  <si>
    <t>زيت موتور لوبيكان (بديل سوبر ستان)</t>
  </si>
  <si>
    <t>بلاطة 2 فدن</t>
  </si>
  <si>
    <t>v16556</t>
  </si>
  <si>
    <t>وش كمبروسر عالي</t>
  </si>
  <si>
    <t>سير 2871*9 عقلة</t>
  </si>
  <si>
    <t>v16321, v16588</t>
  </si>
  <si>
    <t>فلتر زيت 691</t>
  </si>
  <si>
    <t>كاركة 44</t>
  </si>
  <si>
    <t>v16588</t>
  </si>
  <si>
    <t>بلية ميزان 32022</t>
  </si>
  <si>
    <t>v16610</t>
  </si>
  <si>
    <t>بلية ميزان 528946</t>
  </si>
  <si>
    <t>طقم اصلاح مكثف اكتروس</t>
  </si>
  <si>
    <t>بنزين</t>
  </si>
  <si>
    <t>فلتر زيت 3000</t>
  </si>
  <si>
    <t>اولسيه ميزان 170*190</t>
  </si>
  <si>
    <t>بلية دينمو 17 كبيرة</t>
  </si>
  <si>
    <t>شحم فرنسوي 1ك</t>
  </si>
  <si>
    <t>فلتر جاز 5264</t>
  </si>
  <si>
    <t>فلتر جاز تكراري</t>
  </si>
  <si>
    <t>فلتر جاز ورلد</t>
  </si>
  <si>
    <t>فلتر زيت ورلد</t>
  </si>
  <si>
    <t>مسمار كاوتش خلفي</t>
  </si>
  <si>
    <t>زيت باكم</t>
  </si>
  <si>
    <t>v16547</t>
  </si>
  <si>
    <t>بلية دينمو 6003</t>
  </si>
  <si>
    <t>كيس افيز بلاستيك</t>
  </si>
  <si>
    <t>استك كاوتش لودر</t>
  </si>
  <si>
    <t>v16321</t>
  </si>
  <si>
    <t>مسمار نص خلفي مرسيدس</t>
  </si>
  <si>
    <t>وردة 19 علي كاوتش</t>
  </si>
  <si>
    <t>v16556, v16588</t>
  </si>
  <si>
    <t>استك حلة رفيع+عريض</t>
  </si>
  <si>
    <t>لاكور 19</t>
  </si>
  <si>
    <t>سليكون حراري</t>
  </si>
  <si>
    <t>مسمار الانكيه 19 طول 8سم</t>
  </si>
  <si>
    <t>بودرة ثلج</t>
  </si>
  <si>
    <t>امير لاصق</t>
  </si>
  <si>
    <t>v16436, v16446, v16466, v16519, v16597</t>
  </si>
  <si>
    <t>v16615</t>
  </si>
  <si>
    <t>v16424, v16426, v16522, v16599</t>
  </si>
  <si>
    <t>طفلة سيارات</t>
  </si>
  <si>
    <t>v16431, v16440, v16460, v16513, v16590</t>
  </si>
  <si>
    <t>خامة سيارات</t>
  </si>
  <si>
    <t>v16450, v16481, v16530, v16605</t>
  </si>
  <si>
    <t>حفر-تشغيل معدة</t>
  </si>
  <si>
    <t>v16468, v16471, v16475</t>
  </si>
  <si>
    <t>v16613, v16616</t>
  </si>
  <si>
    <t>v16434, v16443, v16463, v16516, v16593</t>
  </si>
  <si>
    <t>v16453, v16484, v16533, v16608</t>
  </si>
  <si>
    <t>v16451, v16482, v16531, v16606</t>
  </si>
  <si>
    <t>v16432, v16441, v16461, v16514, v16591</t>
  </si>
  <si>
    <t>v16425, v16428, v16476, v16524, v16602</t>
  </si>
  <si>
    <t>v16435, v16445, v16465, v16518, v16595</t>
  </si>
  <si>
    <t>v16454, v16486, v16535, v16611</t>
  </si>
  <si>
    <t>v16444, v16464, v16517, v16594</t>
  </si>
  <si>
    <t>v16485, v16534, v16609</t>
  </si>
  <si>
    <t>v16449, v16480, v16529, v16604</t>
  </si>
  <si>
    <t>v16430, v16439, v16459, v16512, v16589</t>
  </si>
  <si>
    <t>v16452, v16483, v16532, v16607</t>
  </si>
  <si>
    <t>v16433, v16442, v16462, v16515, v16592</t>
  </si>
  <si>
    <t>v16470, v16473, v16478</t>
  </si>
  <si>
    <t>v16469, v16472, v16477</t>
  </si>
  <si>
    <t>حفر-طفلة لوادر</t>
  </si>
  <si>
    <t>v16555</t>
  </si>
  <si>
    <t>v16596</t>
  </si>
  <si>
    <t>حفر-طفلة سيارات</t>
  </si>
  <si>
    <t>v16549</t>
  </si>
  <si>
    <t>v16577, v16578</t>
  </si>
  <si>
    <t>v16603</t>
  </si>
  <si>
    <t>v16479</t>
  </si>
  <si>
    <t>v16553</t>
  </si>
  <si>
    <t>v16550</t>
  </si>
  <si>
    <t>v16548</t>
  </si>
  <si>
    <t>v16448</t>
  </si>
  <si>
    <t>v16438</t>
  </si>
  <si>
    <t>v16551</t>
  </si>
  <si>
    <t>v16601</t>
  </si>
  <si>
    <t>v16552</t>
  </si>
  <si>
    <t>v16554</t>
  </si>
  <si>
    <t>ملخص العملاء حسب مراكز التكلفة</t>
  </si>
  <si>
    <t>عدد العملاء: 4</t>
  </si>
  <si>
    <t>عدد مراكز التكلفة</t>
  </si>
  <si>
    <t>تفاصيل العملاء والفواتير والأصناف</t>
  </si>
  <si>
    <t>عدد الصفوف: 159</t>
  </si>
  <si>
    <t>رقم الفاتورة</t>
  </si>
  <si>
    <t>v16427</t>
  </si>
  <si>
    <t>v16474</t>
  </si>
  <si>
    <t>v16523</t>
  </si>
  <si>
    <t>v16600</t>
  </si>
  <si>
    <t>v16437</t>
  </si>
  <si>
    <t>v16447</t>
  </si>
  <si>
    <t>v16455</t>
  </si>
  <si>
    <t>v16467</t>
  </si>
  <si>
    <t>v16487</t>
  </si>
  <si>
    <t>v16520</t>
  </si>
  <si>
    <t>v16536</t>
  </si>
  <si>
    <t>v16598</t>
  </si>
  <si>
    <t>v16436</t>
  </si>
  <si>
    <t>v16446</t>
  </si>
  <si>
    <t>v16466</t>
  </si>
  <si>
    <t>v16519</t>
  </si>
  <si>
    <t>v16597</t>
  </si>
  <si>
    <t>v16424</t>
  </si>
  <si>
    <t>v16426</t>
  </si>
  <si>
    <t>v16522</t>
  </si>
  <si>
    <t>v16599</t>
  </si>
  <si>
    <t>v16613</t>
  </si>
  <si>
    <t>v16616</t>
  </si>
  <si>
    <t>v16431</t>
  </si>
  <si>
    <t>v16440</t>
  </si>
  <si>
    <t>v16450</t>
  </si>
  <si>
    <t>v16460</t>
  </si>
  <si>
    <t>v16481</t>
  </si>
  <si>
    <t>v16513</t>
  </si>
  <si>
    <t>v16530</t>
  </si>
  <si>
    <t>v16590</t>
  </si>
  <si>
    <t>v16425</t>
  </si>
  <si>
    <t>v16428</t>
  </si>
  <si>
    <t>v16476</t>
  </si>
  <si>
    <t>v16524</t>
  </si>
  <si>
    <t>v16602</t>
  </si>
  <si>
    <t>v16434</t>
  </si>
  <si>
    <t>v16443</t>
  </si>
  <si>
    <t>v16453</t>
  </si>
  <si>
    <t>v16463</t>
  </si>
  <si>
    <t>v16484</t>
  </si>
  <si>
    <t>v16516</t>
  </si>
  <si>
    <t>v16533</t>
  </si>
  <si>
    <t>v16593</t>
  </si>
  <si>
    <t>v16432</t>
  </si>
  <si>
    <t>v16441</t>
  </si>
  <si>
    <t>v16451</t>
  </si>
  <si>
    <t>v16461</t>
  </si>
  <si>
    <t>v16482</t>
  </si>
  <si>
    <t>v16514</t>
  </si>
  <si>
    <t>v16531</t>
  </si>
  <si>
    <t>v16591</t>
  </si>
  <si>
    <t>v16435</t>
  </si>
  <si>
    <t>v16445</t>
  </si>
  <si>
    <t>v16454</t>
  </si>
  <si>
    <t>v16465</t>
  </si>
  <si>
    <t>v16486</t>
  </si>
  <si>
    <t>v16518</t>
  </si>
  <si>
    <t>v16535</t>
  </si>
  <si>
    <t>v16595</t>
  </si>
  <si>
    <t>v16444</t>
  </si>
  <si>
    <t>v16464</t>
  </si>
  <si>
    <t>v16485</t>
  </si>
  <si>
    <t>v16517</t>
  </si>
  <si>
    <t>v16534</t>
  </si>
  <si>
    <t>v16594</t>
  </si>
  <si>
    <t>v16430</t>
  </si>
  <si>
    <t>v16439</t>
  </si>
  <si>
    <t>v16449</t>
  </si>
  <si>
    <t>v16459</t>
  </si>
  <si>
    <t>v16480</t>
  </si>
  <si>
    <t>v16512</t>
  </si>
  <si>
    <t>v16529</t>
  </si>
  <si>
    <t>v16589</t>
  </si>
  <si>
    <t>v16433</t>
  </si>
  <si>
    <t>v16442</t>
  </si>
  <si>
    <t>v16452</t>
  </si>
  <si>
    <t>v16462</t>
  </si>
  <si>
    <t>v16483</t>
  </si>
  <si>
    <t>v16515</t>
  </si>
  <si>
    <t>v16532</t>
  </si>
  <si>
    <t>v16592</t>
  </si>
  <si>
    <t>v16577</t>
  </si>
  <si>
    <t>v16578</t>
  </si>
  <si>
    <t>v16468</t>
  </si>
  <si>
    <t>v16471</t>
  </si>
  <si>
    <t>v16475</t>
  </si>
  <si>
    <t>v16470</t>
  </si>
  <si>
    <t>v16473</t>
  </si>
  <si>
    <t>v16478</t>
  </si>
  <si>
    <t>v16469</t>
  </si>
  <si>
    <t>v16472</t>
  </si>
  <si>
    <t>v16477</t>
  </si>
  <si>
    <t>v16345</t>
  </si>
  <si>
    <t>v16419</t>
  </si>
  <si>
    <t>v16420</t>
  </si>
  <si>
    <t>v16492</t>
  </si>
  <si>
    <t>v16612</t>
  </si>
  <si>
    <t>v16605</t>
  </si>
  <si>
    <t>v16609</t>
  </si>
  <si>
    <t>v16604</t>
  </si>
  <si>
    <t>v16608</t>
  </si>
  <si>
    <t>v16606</t>
  </si>
  <si>
    <t>v16607</t>
  </si>
  <si>
    <t>v16611</t>
  </si>
  <si>
    <t>صافى ربح/خساره</t>
  </si>
  <si>
    <t>البيان</t>
  </si>
  <si>
    <t>بلدوزرات</t>
  </si>
  <si>
    <t>لوادر</t>
  </si>
  <si>
    <t>سيارات</t>
  </si>
  <si>
    <t>حفارات</t>
  </si>
  <si>
    <t>معدات إيجار</t>
  </si>
  <si>
    <t xml:space="preserve">
إجمالي الإيرادات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</si>
</sst>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#,##0;[Red]\(#,##0\);\-"/>
    <numFmt numFmtId="165" formatCode="#,##0.00;[Red]\(#,##0.00\);\-"/>
  </numFmts>
  <fonts count="27">
    <font>
      <sz val="11"/>
      <name val="Calibri"/>
    </font>
    <font>
      <b/>
      <sz val="18"/>
      <color rgb="FFFFFFFF"/>
      <name val="Plus Jakarta Sans"/>
    </font>
    <font>
      <b/>
      <sz val="18"/>
      <color rgb="FFFFFFFF"/>
      <name val="Plus Jakarta Sans"/>
    </font>
    <font>
      <b/>
      <sz val="11"/>
      <color rgb="FF0B5F50"/>
      <name val="Plus Jakarta Sans"/>
    </font>
    <font>
      <b/>
      <sz val="11"/>
      <color rgb="FF0B5F50"/>
      <name val="Plus Jakarta Sans"/>
    </font>
    <font>
      <b/>
      <sz val="10"/>
      <color rgb="FF9A3412"/>
      <name val="Plus Jakarta Sans"/>
    </font>
    <font>
      <b/>
      <sz val="10"/>
      <color rgb="FF9A3412"/>
      <name val="Plus Jakarta Sans"/>
    </font>
    <font>
      <b/>
      <sz val="10"/>
      <color rgb="FF5B6E73"/>
      <name val="Plus Jakarta Sans"/>
    </font>
    <font>
      <b/>
      <sz val="10"/>
      <color rgb="FF5B6E73"/>
      <name val="Plus Jakarta Sans"/>
    </font>
    <font>
      <b/>
      <sz val="16"/>
      <color rgb="FF9A3412"/>
      <name val="Plus Jakarta Sans"/>
    </font>
    <font>
      <b/>
      <sz val="16"/>
      <color rgb="FF9A3412"/>
      <name val="Plus Jakarta Sans"/>
    </font>
    <font>
      <b/>
      <sz val="16"/>
      <color rgb="FF0B5F50"/>
      <name val="Plus Jakarta Sans"/>
    </font>
    <font>
      <b/>
      <sz val="16"/>
      <color rgb="FF0B5F50"/>
      <name val="Plus Jakarta Sans"/>
    </font>
    <font>
      <b/>
      <sz val="11"/>
      <color rgb="FF0B5F50"/>
      <name val="Plus Jakarta Sans"/>
    </font>
    <font>
      <sz val="10"/>
      <color rgb="FF1F2A2E"/>
      <name val="Plus Jakarta Sans"/>
    </font>
    <font>
      <b/>
      <sz val="11"/>
      <color rgb="FFFFFFFF"/>
      <name val="Plus Jakarta Sans"/>
    </font>
    <font>
      <b/>
      <sz val="11"/>
      <color rgb="FFFFFFFF"/>
      <name val="Plus Jakarta Sans"/>
    </font>
    <font>
      <sz val="10"/>
      <color rgb="FF1F2A2E"/>
      <name val="Plus Jakarta Sans"/>
    </font>
    <font>
      <sz val="10"/>
      <color rgb="FF1F2A2E"/>
      <name val="Plus Jakarta Sans"/>
    </font>
    <font>
      <sz val="10"/>
      <color rgb="FF1F2A2E"/>
      <name val="Plus Jakarta Sans"/>
    </font>
    <font>
      <sz val="10"/>
      <color rgb="FF1F2A2E"/>
      <name val="Plus Jakarta Sans"/>
    </font>
    <font>
      <sz val="10"/>
      <color rgb="FF1F2A2E"/>
      <name val="Plus Jakarta Sans"/>
    </font>
    <font>
      <sz val="10"/>
      <color rgb="FF1F2A2E"/>
      <name val="Plus Jakarta Sans"/>
    </font>
    <font>
      <b/>
      <sz val="11"/>
      <color rgb="FF78350F"/>
      <name val="Plus Jakarta Sans"/>
    </font>
    <font>
      <b/>
      <sz val="11"/>
      <color rgb="FF78350F"/>
      <name val="Plus Jakarta Sans"/>
    </font>
    <font>
      <b/>
      <sz val="11"/>
      <color rgb="FF78350F"/>
      <name val="Plus Jakarta Sans"/>
    </font>
    <font>
      <sz val="11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0D7864"/>
      </patternFill>
    </fill>
    <fill>
      <patternFill patternType="solid">
        <fgColor rgb="FF0D7864"/>
      </patternFill>
    </fill>
    <fill>
      <patternFill patternType="solid">
        <fgColor rgb="FFEAF7F4"/>
      </patternFill>
    </fill>
    <fill>
      <patternFill patternType="solid">
        <fgColor rgb="FFEAF7F4"/>
      </patternFill>
    </fill>
    <fill>
      <patternFill patternType="solid">
        <fgColor rgb="FFFFF1E6"/>
      </patternFill>
    </fill>
    <fill>
      <patternFill patternType="solid">
        <fgColor rgb="FFFFF1E6"/>
      </patternFill>
    </fill>
    <fill>
      <patternFill patternType="solid">
        <fgColor rgb="FFF5FBF9"/>
      </patternFill>
    </fill>
    <fill>
      <patternFill patternType="solid">
        <fgColor rgb="FFF5FBF9"/>
      </patternFill>
    </fill>
    <fill>
      <patternFill patternType="solid">
        <fgColor rgb="FFFFF1E6"/>
      </patternFill>
    </fill>
    <fill>
      <patternFill patternType="solid">
        <fgColor rgb="FFFFF1E6"/>
      </patternFill>
    </fill>
    <fill>
      <patternFill patternType="solid">
        <fgColor rgb="FFF5FBF9"/>
      </patternFill>
    </fill>
    <fill>
      <patternFill patternType="solid">
        <fgColor rgb="FFF5FBF9"/>
      </patternFill>
    </fill>
    <fill>
      <patternFill patternType="solid">
        <fgColor rgb="FFEAF7F4"/>
      </patternFill>
    </fill>
    <fill>
      <patternFill patternType="solid">
        <fgColor rgb="FF0D7864"/>
      </patternFill>
    </fill>
    <fill>
      <patternFill patternType="solid">
        <fgColor rgb="FF0D7864"/>
      </patternFill>
    </fill>
    <fill>
      <patternFill patternType="solid">
        <fgColor rgb="FFF7FBFA"/>
      </patternFill>
    </fill>
    <fill>
      <patternFill patternType="solid">
        <fgColor rgb="FFF7FBFA"/>
      </patternFill>
    </fill>
    <fill>
      <patternFill patternType="solid">
        <fgColor rgb="FFF7FBFA"/>
      </patternFill>
    </fill>
    <fill>
      <patternFill patternType="solid">
        <fgColor rgb="FFF7FBFA"/>
      </patternFill>
    </fill>
    <fill>
      <patternFill patternType="solid">
        <fgColor rgb="FFFEF3C7"/>
      </patternFill>
    </fill>
    <fill>
      <patternFill patternType="solid">
        <fgColor rgb="FFFEF3C7"/>
      </patternFill>
    </fill>
    <fill>
      <patternFill patternType="solid">
        <fgColor rgb="FFFEF3C7"/>
      </patternFill>
    </fill>
  </fills>
  <borders count="26">
    <border>
      <left/>
      <right/>
      <top/>
      <bottom/>
      <diagonal/>
    </border>
    <border>
      <left style="medium">
        <color rgb="FF0B5F50"/>
      </left>
      <right style="medium">
        <color rgb="FF0B5F50"/>
      </right>
      <top style="medium">
        <color rgb="FF0B5F50"/>
      </top>
      <bottom style="medium">
        <color rgb="FF0B5F50"/>
      </bottom>
      <diagonal/>
    </border>
    <border>
      <left style="thin">
        <color rgb="FFF97316"/>
      </left>
      <right style="thin">
        <color rgb="FFF97316"/>
      </right>
      <top style="thin">
        <color rgb="FFF97316"/>
      </top>
      <bottom/>
      <diagonal/>
    </border>
    <border>
      <left style="thin">
        <color rgb="FFCDE7E0"/>
      </left>
      <right style="thin">
        <color rgb="FFCDE7E0"/>
      </right>
      <top style="thin">
        <color rgb="FFCDE7E0"/>
      </top>
      <bottom/>
      <diagonal/>
    </border>
    <border>
      <left style="thin">
        <color rgb="FFF97316"/>
      </left>
      <right style="thin">
        <color rgb="FFF97316"/>
      </right>
      <top/>
      <bottom style="thin">
        <color rgb="FFF97316"/>
      </bottom>
      <diagonal/>
    </border>
    <border>
      <left style="thin">
        <color rgb="FFCDE7E0"/>
      </left>
      <right style="thin">
        <color rgb="FFCDE7E0"/>
      </right>
      <top/>
      <bottom style="thin">
        <color rgb="FFCDE7E0"/>
      </bottom>
      <diagonal/>
    </border>
    <border>
      <left style="thin">
        <color rgb="FFEEF4F2"/>
      </left>
      <right style="thin">
        <color rgb="FFEEF4F2"/>
      </right>
      <top style="thin">
        <color rgb="FFEEF4F2"/>
      </top>
      <bottom style="thin">
        <color rgb="FFEEF4F2"/>
      </bottom>
      <diagonal/>
    </border>
    <border>
      <left style="thin">
        <color rgb="FF0B5F50"/>
      </left>
      <right style="thin">
        <color rgb="FF0B5F50"/>
      </right>
      <top style="thin">
        <color rgb="FF0B5F50"/>
      </top>
      <bottom style="thin">
        <color rgb="FF0B5F50"/>
      </bottom>
      <diagonal/>
    </border>
    <border>
      <left style="thin">
        <color rgb="FF0B5F50"/>
      </left>
      <right style="thin">
        <color rgb="FF0B5F50"/>
      </right>
      <top style="thin">
        <color rgb="FF0B5F50"/>
      </top>
      <bottom style="thin">
        <color rgb="FF0B5F50"/>
      </bottom>
      <diagonal/>
    </border>
    <border>
      <left style="thin">
        <color rgb="FFEEF4F2"/>
      </left>
      <right style="thin">
        <color rgb="FFEEF4F2"/>
      </right>
      <top style="thin">
        <color rgb="FFEEF4F2"/>
      </top>
      <bottom style="thin">
        <color rgb="FFEEF4F2"/>
      </bottom>
      <diagonal/>
    </border>
    <border>
      <left style="thin">
        <color rgb="FFEEF4F2"/>
      </left>
      <right style="thin">
        <color rgb="FFEEF4F2"/>
      </right>
      <top style="thin">
        <color rgb="FFEEF4F2"/>
      </top>
      <bottom style="thin">
        <color rgb="FFEEF4F2"/>
      </bottom>
      <diagonal/>
    </border>
    <border>
      <left style="thin">
        <color rgb="FFEEF4F2"/>
      </left>
      <right style="thin">
        <color rgb="FFEEF4F2"/>
      </right>
      <top style="thin">
        <color rgb="FFEEF4F2"/>
      </top>
      <bottom style="thin">
        <color rgb="FFEEF4F2"/>
      </bottom>
      <diagonal/>
    </border>
    <border>
      <left style="thin">
        <color rgb="FFEEF4F2"/>
      </left>
      <right style="thin">
        <color rgb="FFEEF4F2"/>
      </right>
      <top style="thin">
        <color rgb="FFEEF4F2"/>
      </top>
      <bottom style="thin">
        <color rgb="FFEEF4F2"/>
      </bottom>
      <diagonal/>
    </border>
    <border>
      <left style="thin">
        <color rgb="FFEEF4F2"/>
      </left>
      <right style="thin">
        <color rgb="FFEEF4F2"/>
      </right>
      <top style="thin">
        <color rgb="FFEEF4F2"/>
      </top>
      <bottom style="thin">
        <color rgb="FFEEF4F2"/>
      </bottom>
      <diagonal/>
    </border>
    <border>
      <left style="thin">
        <color rgb="FFEEF4F2"/>
      </left>
      <right style="thin">
        <color rgb="FFEEF4F2"/>
      </right>
      <top style="thin">
        <color rgb="FFEEF4F2"/>
      </top>
      <bottom style="thin">
        <color rgb="FFEEF4F2"/>
      </bottom>
      <diagonal/>
    </border>
    <border>
      <left style="medium">
        <color rgb="FFF97316"/>
      </left>
      <right style="medium">
        <color rgb="FFF97316"/>
      </right>
      <top style="medium">
        <color rgb="FFF97316"/>
      </top>
      <bottom style="medium">
        <color rgb="FFF97316"/>
      </bottom>
      <diagonal/>
    </border>
    <border>
      <left style="medium">
        <color rgb="FFF97316"/>
      </left>
      <right style="medium">
        <color rgb="FFF97316"/>
      </right>
      <top style="medium">
        <color rgb="FFF97316"/>
      </top>
      <bottom style="medium">
        <color rgb="FFF97316"/>
      </bottom>
      <diagonal/>
    </border>
    <border>
      <left style="medium">
        <color rgb="FFF97316"/>
      </left>
      <right style="medium">
        <color rgb="FFF97316"/>
      </right>
      <top style="medium">
        <color rgb="FFF97316"/>
      </top>
      <bottom style="medium">
        <color rgb="FFF97316"/>
      </bottom>
      <diagonal/>
    </border>
    <border>
      <left/>
      <right/>
      <top style="thin">
        <color rgb="FFEEF4F2"/>
      </top>
      <bottom style="thin">
        <color rgb="FFEEF4F2"/>
      </bottom>
      <diagonal/>
    </border>
    <border>
      <left/>
      <right style="thin">
        <color rgb="FFEEF4F2"/>
      </right>
      <top style="thin">
        <color rgb="FFEEF4F2"/>
      </top>
      <bottom style="thin">
        <color rgb="FFEEF4F2"/>
      </bottom>
      <diagonal/>
    </border>
    <border>
      <left/>
      <right style="thin">
        <color rgb="FFCDE7E0"/>
      </right>
      <top style="thin">
        <color rgb="FFCDE7E0"/>
      </top>
      <bottom/>
      <diagonal/>
    </border>
    <border>
      <left/>
      <right style="thin">
        <color rgb="FFCDE7E0"/>
      </right>
      <top/>
      <bottom style="thin">
        <color rgb="FFCDE7E0"/>
      </bottom>
      <diagonal/>
    </border>
    <border>
      <left/>
      <right/>
      <top style="medium">
        <color rgb="FF0B5F50"/>
      </top>
      <bottom style="medium">
        <color rgb="FF0B5F50"/>
      </bottom>
      <diagonal/>
    </border>
    <border>
      <left/>
      <right style="medium">
        <color rgb="FF0B5F50"/>
      </right>
      <top style="medium">
        <color rgb="FF0B5F50"/>
      </top>
      <bottom style="medium">
        <color rgb="FF0B5F50"/>
      </bottom>
      <diagonal/>
    </border>
    <border>
      <left/>
      <right style="thin">
        <color rgb="FFF97316"/>
      </right>
      <top style="thin">
        <color rgb="FFF97316"/>
      </top>
      <bottom/>
      <diagonal/>
    </border>
    <border>
      <left/>
      <right style="thin">
        <color rgb="FFF97316"/>
      </right>
      <top/>
      <bottom style="thin">
        <color rgb="FFF97316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48">
    <xf numFmtId="0" fontId="0" fillId="0" borderId="0" xfId="0"/>
    <xf numFmtId="0" fontId="14" fillId="0" borderId="6" xfId="0" applyFont="1" applyBorder="1" applyAlignment="1">
      <alignment horizontal="right" vertical="center" wrapText="1" readingOrder="2"/>
    </xf>
    <xf numFmtId="0" fontId="15" fillId="15" borderId="7" xfId="0" applyFont="1" applyFill="1" applyBorder="1" applyAlignment="1">
      <alignment horizontal="center" vertical="center" wrapText="1" readingOrder="2"/>
    </xf>
    <xf numFmtId="0" fontId="16" fillId="16" borderId="8" xfId="0" applyFont="1" applyFill="1" applyBorder="1" applyAlignment="1">
      <alignment horizontal="center" vertical="center" wrapText="1" readingOrder="2"/>
    </xf>
    <xf numFmtId="164" fontId="17" fillId="0" borderId="9" xfId="0" applyNumberFormat="1" applyFont="1" applyBorder="1" applyAlignment="1">
      <alignment horizontal="center" vertical="center" readingOrder="2"/>
    </xf>
    <xf numFmtId="165" fontId="18" fillId="0" borderId="10" xfId="0" applyNumberFormat="1" applyFont="1" applyBorder="1" applyAlignment="1">
      <alignment horizontal="center" vertical="center" readingOrder="2"/>
    </xf>
    <xf numFmtId="0" fontId="19" fillId="17" borderId="11" xfId="0" applyFont="1" applyFill="1" applyBorder="1" applyAlignment="1">
      <alignment horizontal="right" vertical="center" wrapText="1" readingOrder="2"/>
    </xf>
    <xf numFmtId="164" fontId="20" fillId="18" borderId="12" xfId="0" applyNumberFormat="1" applyFont="1" applyFill="1" applyBorder="1" applyAlignment="1">
      <alignment horizontal="center" vertical="center" readingOrder="2"/>
    </xf>
    <xf numFmtId="0" fontId="21" fillId="19" borderId="13" xfId="0" applyFont="1" applyFill="1" applyBorder="1" applyAlignment="1">
      <alignment horizontal="right" vertical="center" wrapText="1" readingOrder="2"/>
    </xf>
    <xf numFmtId="165" fontId="22" fillId="20" borderId="14" xfId="0" applyNumberFormat="1" applyFont="1" applyFill="1" applyBorder="1" applyAlignment="1">
      <alignment horizontal="center" vertical="center" readingOrder="2"/>
    </xf>
    <xf numFmtId="0" fontId="23" fillId="21" borderId="15" xfId="0" applyFont="1" applyFill="1" applyBorder="1" applyAlignment="1">
      <alignment horizontal="center" vertical="center" readingOrder="2"/>
    </xf>
    <xf numFmtId="164" fontId="24" fillId="22" borderId="16" xfId="0" applyNumberFormat="1" applyFont="1" applyFill="1" applyBorder="1" applyAlignment="1">
      <alignment horizontal="center" vertical="center" readingOrder="2"/>
    </xf>
    <xf numFmtId="165" fontId="25" fillId="23" borderId="17" xfId="0" applyNumberFormat="1" applyFont="1" applyFill="1" applyBorder="1" applyAlignment="1">
      <alignment horizontal="center" vertical="center" readingOrder="2"/>
    </xf>
    <xf numFmtId="0" fontId="14" fillId="0" borderId="14" xfId="0" applyFont="1" applyBorder="1" applyAlignment="1">
      <alignment horizontal="right" vertical="center" wrapText="1" readingOrder="2"/>
    </xf>
    <xf numFmtId="0" fontId="2" fillId="3" borderId="1" xfId="0" applyFont="1" applyFill="1" applyBorder="1" applyAlignment="1">
      <alignment horizontal="center" vertical="center" readingOrder="2"/>
    </xf>
    <xf numFmtId="0" fontId="0" fillId="0" borderId="22" xfId="0" applyBorder="1"/>
    <xf numFmtId="0" fontId="4" fillId="5" borderId="0" xfId="0" applyFont="1" applyFill="1" applyAlignment="1">
      <alignment horizontal="center" vertical="center" readingOrder="2"/>
    </xf>
    <xf numFmtId="0" fontId="0" fillId="0" borderId="0" xfId="0"/>
    <xf numFmtId="0" fontId="5" fillId="6" borderId="2" xfId="0" applyFont="1" applyFill="1" applyBorder="1" applyAlignment="1">
      <alignment horizontal="center" vertical="center" readingOrder="2"/>
    </xf>
    <xf numFmtId="0" fontId="0" fillId="0" borderId="24" xfId="0" applyBorder="1"/>
    <xf numFmtId="0" fontId="3" fillId="4" borderId="0" xfId="0" applyFont="1" applyFill="1" applyAlignment="1">
      <alignment horizontal="center" vertical="center" readingOrder="2"/>
    </xf>
    <xf numFmtId="0" fontId="14" fillId="0" borderId="14" xfId="0" applyFont="1" applyBorder="1" applyAlignment="1">
      <alignment horizontal="right" vertical="center" wrapText="1" readingOrder="2"/>
    </xf>
    <xf numFmtId="0" fontId="0" fillId="0" borderId="18" xfId="0" applyBorder="1"/>
    <xf numFmtId="0" fontId="0" fillId="0" borderId="19" xfId="0" applyBorder="1"/>
    <xf numFmtId="0" fontId="8" fillId="9" borderId="3" xfId="0" applyFont="1" applyFill="1" applyBorder="1" applyAlignment="1">
      <alignment horizontal="center" vertical="center" readingOrder="2"/>
    </xf>
    <xf numFmtId="0" fontId="0" fillId="0" borderId="20" xfId="0" applyBorder="1"/>
    <xf numFmtId="0" fontId="13" fillId="14" borderId="0" xfId="0" applyFont="1" applyFill="1" applyAlignment="1">
      <alignment horizontal="right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0" fillId="0" borderId="23" xfId="0" applyBorder="1"/>
    <xf numFmtId="164" fontId="11" fillId="12" borderId="5" xfId="0" applyNumberFormat="1" applyFont="1" applyFill="1" applyBorder="1" applyAlignment="1">
      <alignment horizontal="center" vertical="center" readingOrder="2"/>
    </xf>
    <xf numFmtId="0" fontId="0" fillId="0" borderId="21" xfId="0" applyBorder="1"/>
    <xf numFmtId="165" fontId="9" fillId="10" borderId="4" xfId="0" applyNumberFormat="1" applyFont="1" applyFill="1" applyBorder="1" applyAlignment="1">
      <alignment horizontal="center" vertical="center" readingOrder="2"/>
    </xf>
    <xf numFmtId="0" fontId="0" fillId="0" borderId="25" xfId="0" applyBorder="1"/>
    <xf numFmtId="164" fontId="12" fillId="13" borderId="5" xfId="0" applyNumberFormat="1" applyFont="1" applyFill="1" applyBorder="1" applyAlignment="1">
      <alignment horizontal="center" vertical="center" readingOrder="2"/>
    </xf>
    <xf numFmtId="0" fontId="7" fillId="8" borderId="3" xfId="0" applyFont="1" applyFill="1" applyBorder="1" applyAlignment="1">
      <alignment horizontal="center" vertical="center" readingOrder="2"/>
    </xf>
    <xf numFmtId="0" fontId="6" fillId="7" borderId="2" xfId="0" applyFont="1" applyFill="1" applyBorder="1" applyAlignment="1">
      <alignment horizontal="center" vertical="center" readingOrder="2"/>
    </xf>
    <xf numFmtId="165" fontId="10" fillId="11" borderId="4" xfId="0" applyNumberFormat="1" applyFont="1" applyFill="1" applyBorder="1" applyAlignment="1">
      <alignment horizontal="center" vertical="center" readingOrder="2"/>
    </xf>
    <xf numFmtId="43" fontId="0" fillId="0" borderId="0" xfId="1" applyFont="1"/>
    <xf numFmtId="43" fontId="16" fillId="16" borderId="8" xfId="1" applyFont="1" applyFill="1" applyBorder="1" applyAlignment="1">
      <alignment horizontal="center" vertical="center" wrapText="1" readingOrder="2"/>
    </xf>
    <xf numFmtId="43" fontId="22" fillId="0" borderId="14" xfId="1" applyFont="1" applyBorder="1" applyAlignment="1">
      <alignment horizontal="center" vertical="center" readingOrder="2"/>
    </xf>
    <xf numFmtId="43" fontId="22" fillId="20" borderId="14" xfId="1" applyFont="1" applyFill="1" applyBorder="1" applyAlignment="1">
      <alignment horizontal="center" vertical="center" readingOrder="2"/>
    </xf>
    <xf numFmtId="43" fontId="25" fillId="23" borderId="17" xfId="1" applyFont="1" applyFill="1" applyBorder="1" applyAlignment="1">
      <alignment horizontal="center" vertical="center" readingOrder="2"/>
    </xf>
    <xf numFmtId="43" fontId="15" fillId="16" borderId="8" xfId="1" applyFont="1" applyFill="1" applyBorder="1" applyAlignment="1">
      <alignment horizontal="center" vertical="center" wrapText="1" readingOrder="2"/>
    </xf>
    <xf numFmtId="43" fontId="18" fillId="0" borderId="10" xfId="1" applyFont="1" applyBorder="1" applyAlignment="1">
      <alignment horizontal="center" vertical="center" readingOrder="2"/>
    </xf>
    <xf numFmtId="43" fontId="17" fillId="0" borderId="9" xfId="1" applyFont="1" applyBorder="1" applyAlignment="1">
      <alignment horizontal="center" vertical="center" readingOrder="2"/>
    </xf>
    <xf numFmtId="0" fontId="15" fillId="16" borderId="8" xfId="0" applyFont="1" applyFill="1" applyBorder="1" applyAlignment="1">
      <alignment horizontal="center" vertical="center" wrapText="1" readingOrder="2"/>
    </xf>
    <xf numFmtId="43" fontId="20" fillId="18" borderId="12" xfId="1" applyFont="1" applyFill="1" applyBorder="1" applyAlignment="1">
      <alignment horizontal="center" vertical="center" readingOrder="2"/>
    </xf>
    <xf numFmtId="43" fontId="24" fillId="22" borderId="16" xfId="1" applyFont="1" applyFill="1" applyBorder="1" applyAlignment="1">
      <alignment horizontal="center" vertical="center" readingOrder="2"/>
    </xf>
  </cellXfs>
  <cellStyles count="2">
    <cellStyle name="Comma" xfId="1" builtinId="3"/>
    <cellStyle name="Normal" xfId="0" builtinId="0"/>
  </cellStyles>
  <dxfs count="0"/>
  <tableStyles count="1" defaultTableStyle="TableStyleMedium9" defaultPivotStyle="PivotStyleMedium4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rightToLeft="1" workbookViewId="0">
      <selection activeCell="C5" sqref="C5:D5"/>
    </sheetView>
  </sheetViews>
  <sheetFormatPr defaultRowHeight="14.4"/>
  <cols>
    <col min="1" max="6" width="20.77734375" customWidth="1"/>
  </cols>
  <sheetData>
    <row r="1" spans="1:6" ht="42" customHeight="1">
      <c r="A1" s="27" t="s">
        <v>50</v>
      </c>
      <c r="B1" s="15"/>
      <c r="C1" s="15"/>
      <c r="D1" s="15"/>
      <c r="E1" s="15"/>
      <c r="F1" s="28"/>
    </row>
    <row r="2" spans="1:6" ht="24" customHeight="1">
      <c r="A2" s="20" t="s">
        <v>51</v>
      </c>
      <c r="B2" s="17"/>
      <c r="C2" s="17"/>
      <c r="D2" s="17"/>
      <c r="E2" s="17"/>
      <c r="F2" s="17"/>
    </row>
    <row r="3" spans="1:6" ht="10.050000000000001" customHeight="1"/>
    <row r="4" spans="1:6" ht="22.05" customHeight="1">
      <c r="A4" s="18" t="s">
        <v>52</v>
      </c>
      <c r="B4" s="19"/>
      <c r="C4" s="34" t="s">
        <v>53</v>
      </c>
      <c r="D4" s="25"/>
      <c r="E4" s="24" t="s">
        <v>4</v>
      </c>
      <c r="F4" s="25"/>
    </row>
    <row r="5" spans="1:6" ht="46.05" customHeight="1">
      <c r="A5" s="31">
        <v>1842597.5</v>
      </c>
      <c r="B5" s="32"/>
      <c r="C5" s="29">
        <v>159</v>
      </c>
      <c r="D5" s="30"/>
      <c r="E5" s="33">
        <v>127</v>
      </c>
      <c r="F5" s="30"/>
    </row>
    <row r="6" spans="1:6" ht="7.95" customHeight="1"/>
    <row r="7" spans="1:6" ht="22.05" customHeight="1">
      <c r="A7" s="24" t="s">
        <v>54</v>
      </c>
      <c r="B7" s="25"/>
      <c r="C7" s="24" t="s">
        <v>55</v>
      </c>
      <c r="D7" s="25"/>
      <c r="E7" s="24" t="s">
        <v>56</v>
      </c>
      <c r="F7" s="25"/>
    </row>
    <row r="8" spans="1:6" ht="46.05" customHeight="1">
      <c r="A8" s="33">
        <v>29</v>
      </c>
      <c r="B8" s="30"/>
      <c r="C8" s="33">
        <v>87</v>
      </c>
      <c r="D8" s="30"/>
      <c r="E8" s="33" t="s">
        <v>57</v>
      </c>
      <c r="F8" s="30"/>
    </row>
    <row r="9" spans="1:6" ht="7.95" customHeight="1"/>
    <row r="10" spans="1:6" ht="24" customHeight="1">
      <c r="A10" s="26" t="s">
        <v>58</v>
      </c>
      <c r="B10" s="17"/>
      <c r="C10" s="17"/>
      <c r="D10" s="17"/>
      <c r="E10" s="17"/>
      <c r="F10" s="17"/>
    </row>
    <row r="11" spans="1:6" ht="19.95" customHeight="1">
      <c r="A11" s="21" t="s">
        <v>59</v>
      </c>
      <c r="B11" s="22"/>
      <c r="C11" s="22"/>
      <c r="D11" s="22"/>
      <c r="E11" s="22"/>
      <c r="F11" s="23"/>
    </row>
    <row r="12" spans="1:6" ht="19.95" customHeight="1">
      <c r="A12" s="21" t="s">
        <v>60</v>
      </c>
      <c r="B12" s="22"/>
      <c r="C12" s="22"/>
      <c r="D12" s="22"/>
      <c r="E12" s="22"/>
      <c r="F12" s="23"/>
    </row>
  </sheetData>
  <mergeCells count="17">
    <mergeCell ref="A1:F1"/>
    <mergeCell ref="C5:D5"/>
    <mergeCell ref="A5:B5"/>
    <mergeCell ref="E5:F5"/>
    <mergeCell ref="A12:F12"/>
    <mergeCell ref="A8:B8"/>
    <mergeCell ref="E8:F8"/>
    <mergeCell ref="C8:D8"/>
    <mergeCell ref="C4:D4"/>
    <mergeCell ref="A4:B4"/>
    <mergeCell ref="A2:F2"/>
    <mergeCell ref="A11:F11"/>
    <mergeCell ref="E4:F4"/>
    <mergeCell ref="A10:F10"/>
    <mergeCell ref="C7:D7"/>
    <mergeCell ref="A7:B7"/>
    <mergeCell ref="E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rightToLeft="1" workbookViewId="0"/>
  </sheetViews>
  <sheetFormatPr defaultRowHeight="14.4"/>
  <cols>
    <col min="1" max="1" width="33.77734375" customWidth="1"/>
    <col min="2" max="2" width="16.77734375" customWidth="1"/>
    <col min="3" max="3" width="15.77734375" customWidth="1"/>
    <col min="4" max="6" width="14.77734375" customWidth="1"/>
    <col min="7" max="7" width="17.77734375" customWidth="1"/>
    <col min="8" max="8" width="22.77734375" customWidth="1"/>
  </cols>
  <sheetData>
    <row r="1" spans="1:8" ht="36" customHeight="1">
      <c r="A1" s="14" t="s">
        <v>61</v>
      </c>
      <c r="B1" s="15"/>
      <c r="C1" s="15"/>
      <c r="D1" s="15"/>
      <c r="E1" s="15"/>
      <c r="F1" s="15"/>
      <c r="G1" s="15"/>
      <c r="H1" s="28"/>
    </row>
    <row r="2" spans="1:8" ht="22.05" customHeight="1">
      <c r="A2" s="16" t="s">
        <v>62</v>
      </c>
      <c r="B2" s="17"/>
      <c r="C2" s="17"/>
      <c r="D2" s="17"/>
      <c r="E2" s="17"/>
      <c r="F2" s="17"/>
      <c r="G2" s="17"/>
      <c r="H2" s="17"/>
    </row>
    <row r="3" spans="1:8" ht="7.95" customHeight="1"/>
    <row r="4" spans="1:8" ht="19.95" customHeight="1">
      <c r="A4" s="35" t="s">
        <v>52</v>
      </c>
      <c r="B4" s="19"/>
      <c r="C4" s="24" t="s">
        <v>53</v>
      </c>
      <c r="D4" s="25"/>
      <c r="E4" s="24" t="s">
        <v>4</v>
      </c>
      <c r="F4" s="25"/>
      <c r="G4" s="24" t="s">
        <v>63</v>
      </c>
      <c r="H4" s="25"/>
    </row>
    <row r="5" spans="1:8" ht="34.049999999999997" customHeight="1">
      <c r="A5" s="36">
        <v>1842597.5</v>
      </c>
      <c r="B5" s="32"/>
      <c r="C5" s="33">
        <v>159</v>
      </c>
      <c r="D5" s="30"/>
      <c r="E5" s="33">
        <v>127</v>
      </c>
      <c r="F5" s="30"/>
      <c r="G5" s="33">
        <v>29</v>
      </c>
      <c r="H5" s="30"/>
    </row>
    <row r="6" spans="1:8" ht="10.050000000000001" customHeight="1"/>
    <row r="7" spans="1:8" ht="28.05" customHeight="1">
      <c r="A7" s="2" t="s">
        <v>3</v>
      </c>
      <c r="B7" s="3" t="s">
        <v>4</v>
      </c>
      <c r="C7" s="3" t="s">
        <v>64</v>
      </c>
      <c r="D7" s="3" t="s">
        <v>5</v>
      </c>
      <c r="E7" s="3" t="s">
        <v>65</v>
      </c>
      <c r="F7" s="3" t="s">
        <v>66</v>
      </c>
      <c r="G7" s="3" t="s">
        <v>53</v>
      </c>
      <c r="H7" s="3" t="s">
        <v>52</v>
      </c>
    </row>
    <row r="8" spans="1:8" ht="22.05" customHeight="1">
      <c r="A8" s="1" t="s">
        <v>15</v>
      </c>
      <c r="B8" s="4">
        <v>9</v>
      </c>
      <c r="C8" s="4">
        <v>2</v>
      </c>
      <c r="D8" s="4">
        <v>5</v>
      </c>
      <c r="E8" s="1" t="s">
        <v>16</v>
      </c>
      <c r="F8" s="1" t="s">
        <v>14</v>
      </c>
      <c r="G8" s="4">
        <v>9</v>
      </c>
      <c r="H8" s="5">
        <v>221839.5</v>
      </c>
    </row>
    <row r="9" spans="1:8" ht="22.05" customHeight="1">
      <c r="A9" s="6" t="s">
        <v>12</v>
      </c>
      <c r="B9" s="7">
        <v>4</v>
      </c>
      <c r="C9" s="7">
        <v>1</v>
      </c>
      <c r="D9" s="7">
        <v>4</v>
      </c>
      <c r="E9" s="8" t="s">
        <v>13</v>
      </c>
      <c r="F9" s="8" t="s">
        <v>14</v>
      </c>
      <c r="G9" s="7">
        <v>4</v>
      </c>
      <c r="H9" s="7">
        <v>210335</v>
      </c>
    </row>
    <row r="10" spans="1:8" ht="22.05" customHeight="1">
      <c r="A10" s="1" t="s">
        <v>47</v>
      </c>
      <c r="B10" s="4">
        <v>11</v>
      </c>
      <c r="C10" s="4">
        <v>37</v>
      </c>
      <c r="D10" s="4">
        <v>5</v>
      </c>
      <c r="E10" s="1" t="s">
        <v>16</v>
      </c>
      <c r="F10" s="1" t="s">
        <v>14</v>
      </c>
      <c r="G10" s="4">
        <v>43</v>
      </c>
      <c r="H10" s="4">
        <v>179045</v>
      </c>
    </row>
    <row r="11" spans="1:8" ht="22.05" customHeight="1">
      <c r="A11" s="8" t="s">
        <v>17</v>
      </c>
      <c r="B11" s="7">
        <v>6</v>
      </c>
      <c r="C11" s="7">
        <v>2</v>
      </c>
      <c r="D11" s="7">
        <v>5</v>
      </c>
      <c r="E11" s="8" t="s">
        <v>16</v>
      </c>
      <c r="F11" s="8" t="s">
        <v>14</v>
      </c>
      <c r="G11" s="7">
        <v>6</v>
      </c>
      <c r="H11" s="9">
        <v>153418.44</v>
      </c>
    </row>
    <row r="12" spans="1:8" ht="22.05" customHeight="1">
      <c r="A12" s="1" t="s">
        <v>18</v>
      </c>
      <c r="B12" s="4">
        <v>4</v>
      </c>
      <c r="C12" s="4">
        <v>1</v>
      </c>
      <c r="D12" s="4">
        <v>4</v>
      </c>
      <c r="E12" s="1" t="s">
        <v>16</v>
      </c>
      <c r="F12" s="1" t="s">
        <v>14</v>
      </c>
      <c r="G12" s="4">
        <v>4</v>
      </c>
      <c r="H12" s="5">
        <v>133687.5</v>
      </c>
    </row>
    <row r="13" spans="1:8" ht="22.05" customHeight="1">
      <c r="A13" s="8" t="s">
        <v>21</v>
      </c>
      <c r="B13" s="7">
        <v>9</v>
      </c>
      <c r="C13" s="7">
        <v>2</v>
      </c>
      <c r="D13" s="7">
        <v>5</v>
      </c>
      <c r="E13" s="8" t="s">
        <v>16</v>
      </c>
      <c r="F13" s="8" t="s">
        <v>14</v>
      </c>
      <c r="G13" s="7">
        <v>9</v>
      </c>
      <c r="H13" s="9">
        <v>94651.65</v>
      </c>
    </row>
    <row r="14" spans="1:8" ht="22.05" customHeight="1">
      <c r="A14" s="1" t="s">
        <v>36</v>
      </c>
      <c r="B14" s="4">
        <v>3</v>
      </c>
      <c r="C14" s="4">
        <v>1</v>
      </c>
      <c r="D14" s="4">
        <v>3</v>
      </c>
      <c r="E14" s="1" t="s">
        <v>16</v>
      </c>
      <c r="F14" s="1" t="s">
        <v>30</v>
      </c>
      <c r="G14" s="4">
        <v>3</v>
      </c>
      <c r="H14" s="5">
        <v>90907.5</v>
      </c>
    </row>
    <row r="15" spans="1:8" ht="22.05" customHeight="1">
      <c r="A15" s="8" t="s">
        <v>19</v>
      </c>
      <c r="B15" s="7">
        <v>2</v>
      </c>
      <c r="C15" s="7">
        <v>1</v>
      </c>
      <c r="D15" s="7">
        <v>1</v>
      </c>
      <c r="E15" s="8" t="s">
        <v>20</v>
      </c>
      <c r="F15" s="8" t="s">
        <v>20</v>
      </c>
      <c r="G15" s="7">
        <v>2</v>
      </c>
      <c r="H15" s="7">
        <v>87840</v>
      </c>
    </row>
    <row r="16" spans="1:8" ht="22.05" customHeight="1">
      <c r="A16" s="1" t="s">
        <v>23</v>
      </c>
      <c r="B16" s="4">
        <v>9</v>
      </c>
      <c r="C16" s="4">
        <v>2</v>
      </c>
      <c r="D16" s="4">
        <v>5</v>
      </c>
      <c r="E16" s="1" t="s">
        <v>16</v>
      </c>
      <c r="F16" s="1" t="s">
        <v>14</v>
      </c>
      <c r="G16" s="4">
        <v>9</v>
      </c>
      <c r="H16" s="5">
        <v>86531.97</v>
      </c>
    </row>
    <row r="17" spans="1:8" ht="22.05" customHeight="1">
      <c r="A17" s="8" t="s">
        <v>24</v>
      </c>
      <c r="B17" s="7">
        <v>9</v>
      </c>
      <c r="C17" s="7">
        <v>2</v>
      </c>
      <c r="D17" s="7">
        <v>5</v>
      </c>
      <c r="E17" s="8" t="s">
        <v>16</v>
      </c>
      <c r="F17" s="8" t="s">
        <v>14</v>
      </c>
      <c r="G17" s="7">
        <v>9</v>
      </c>
      <c r="H17" s="9">
        <v>84128.010000000009</v>
      </c>
    </row>
    <row r="18" spans="1:8" ht="22.05" customHeight="1">
      <c r="A18" s="1" t="s">
        <v>22</v>
      </c>
      <c r="B18" s="4">
        <v>5</v>
      </c>
      <c r="C18" s="4">
        <v>1</v>
      </c>
      <c r="D18" s="4">
        <v>5</v>
      </c>
      <c r="E18" s="1" t="s">
        <v>16</v>
      </c>
      <c r="F18" s="1" t="s">
        <v>14</v>
      </c>
      <c r="G18" s="4">
        <v>5</v>
      </c>
      <c r="H18" s="5">
        <v>81152.5</v>
      </c>
    </row>
    <row r="19" spans="1:8" ht="22.05" customHeight="1">
      <c r="A19" s="8" t="s">
        <v>25</v>
      </c>
      <c r="B19" s="7">
        <v>9</v>
      </c>
      <c r="C19" s="7">
        <v>2</v>
      </c>
      <c r="D19" s="7">
        <v>5</v>
      </c>
      <c r="E19" s="8" t="s">
        <v>16</v>
      </c>
      <c r="F19" s="8" t="s">
        <v>14</v>
      </c>
      <c r="G19" s="7">
        <v>9</v>
      </c>
      <c r="H19" s="9">
        <v>66597.94</v>
      </c>
    </row>
    <row r="20" spans="1:8" ht="22.05" customHeight="1">
      <c r="A20" s="1" t="s">
        <v>26</v>
      </c>
      <c r="B20" s="4">
        <v>7</v>
      </c>
      <c r="C20" s="4">
        <v>2</v>
      </c>
      <c r="D20" s="4">
        <v>4</v>
      </c>
      <c r="E20" s="1" t="s">
        <v>13</v>
      </c>
      <c r="F20" s="1" t="s">
        <v>14</v>
      </c>
      <c r="G20" s="4">
        <v>7</v>
      </c>
      <c r="H20" s="5">
        <v>63999.87</v>
      </c>
    </row>
    <row r="21" spans="1:8" ht="22.05" customHeight="1">
      <c r="A21" s="8" t="s">
        <v>27</v>
      </c>
      <c r="B21" s="7">
        <v>9</v>
      </c>
      <c r="C21" s="7">
        <v>2</v>
      </c>
      <c r="D21" s="7">
        <v>5</v>
      </c>
      <c r="E21" s="8" t="s">
        <v>16</v>
      </c>
      <c r="F21" s="8" t="s">
        <v>14</v>
      </c>
      <c r="G21" s="7">
        <v>9</v>
      </c>
      <c r="H21" s="9">
        <v>58291.210000000006</v>
      </c>
    </row>
    <row r="22" spans="1:8" ht="22.05" customHeight="1">
      <c r="A22" s="1" t="s">
        <v>28</v>
      </c>
      <c r="B22" s="4">
        <v>9</v>
      </c>
      <c r="C22" s="4">
        <v>2</v>
      </c>
      <c r="D22" s="4">
        <v>5</v>
      </c>
      <c r="E22" s="1" t="s">
        <v>16</v>
      </c>
      <c r="F22" s="1" t="s">
        <v>14</v>
      </c>
      <c r="G22" s="4">
        <v>9</v>
      </c>
      <c r="H22" s="5">
        <v>54321.84</v>
      </c>
    </row>
    <row r="23" spans="1:8" ht="22.05" customHeight="1">
      <c r="A23" s="8" t="s">
        <v>37</v>
      </c>
      <c r="B23" s="7">
        <v>3</v>
      </c>
      <c r="C23" s="7">
        <v>1</v>
      </c>
      <c r="D23" s="7">
        <v>3</v>
      </c>
      <c r="E23" s="8" t="s">
        <v>16</v>
      </c>
      <c r="F23" s="8" t="s">
        <v>30</v>
      </c>
      <c r="G23" s="7">
        <v>3</v>
      </c>
      <c r="H23" s="9">
        <v>33482.5</v>
      </c>
    </row>
    <row r="24" spans="1:8" ht="22.05" customHeight="1">
      <c r="A24" s="1" t="s">
        <v>38</v>
      </c>
      <c r="B24" s="4">
        <v>3</v>
      </c>
      <c r="C24" s="4">
        <v>1</v>
      </c>
      <c r="D24" s="4">
        <v>3</v>
      </c>
      <c r="E24" s="1" t="s">
        <v>16</v>
      </c>
      <c r="F24" s="1" t="s">
        <v>30</v>
      </c>
      <c r="G24" s="4">
        <v>3</v>
      </c>
      <c r="H24" s="4">
        <v>28375</v>
      </c>
    </row>
    <row r="25" spans="1:8" ht="22.05" customHeight="1">
      <c r="A25" s="8" t="s">
        <v>39</v>
      </c>
      <c r="B25" s="7">
        <v>1</v>
      </c>
      <c r="C25" s="7">
        <v>1</v>
      </c>
      <c r="D25" s="7">
        <v>1</v>
      </c>
      <c r="E25" s="8" t="s">
        <v>16</v>
      </c>
      <c r="F25" s="8" t="s">
        <v>16</v>
      </c>
      <c r="G25" s="7">
        <v>1</v>
      </c>
      <c r="H25" s="7">
        <v>25587</v>
      </c>
    </row>
    <row r="26" spans="1:8" ht="22.05" customHeight="1">
      <c r="A26" s="1" t="s">
        <v>31</v>
      </c>
      <c r="B26" s="4">
        <v>2</v>
      </c>
      <c r="C26" s="4">
        <v>2</v>
      </c>
      <c r="D26" s="4">
        <v>2</v>
      </c>
      <c r="E26" s="1" t="s">
        <v>16</v>
      </c>
      <c r="F26" s="1" t="s">
        <v>14</v>
      </c>
      <c r="G26" s="4">
        <v>2</v>
      </c>
      <c r="H26" s="4">
        <v>20184</v>
      </c>
    </row>
    <row r="27" spans="1:8" ht="22.05" customHeight="1">
      <c r="A27" s="8" t="s">
        <v>29</v>
      </c>
      <c r="B27" s="7">
        <v>2</v>
      </c>
      <c r="C27" s="7">
        <v>1</v>
      </c>
      <c r="D27" s="7">
        <v>2</v>
      </c>
      <c r="E27" s="8" t="s">
        <v>30</v>
      </c>
      <c r="F27" s="8" t="s">
        <v>20</v>
      </c>
      <c r="G27" s="7">
        <v>2</v>
      </c>
      <c r="H27" s="7">
        <v>19950</v>
      </c>
    </row>
    <row r="28" spans="1:8" ht="22.05" customHeight="1">
      <c r="A28" s="1" t="s">
        <v>32</v>
      </c>
      <c r="B28" s="4">
        <v>1</v>
      </c>
      <c r="C28" s="4">
        <v>1</v>
      </c>
      <c r="D28" s="4">
        <v>1</v>
      </c>
      <c r="E28" s="1" t="s">
        <v>14</v>
      </c>
      <c r="F28" s="1" t="s">
        <v>14</v>
      </c>
      <c r="G28" s="4">
        <v>1</v>
      </c>
      <c r="H28" s="4">
        <v>9080</v>
      </c>
    </row>
    <row r="29" spans="1:8" ht="22.05" customHeight="1">
      <c r="A29" s="8" t="s">
        <v>40</v>
      </c>
      <c r="B29" s="7">
        <v>1</v>
      </c>
      <c r="C29" s="7">
        <v>1</v>
      </c>
      <c r="D29" s="7">
        <v>1</v>
      </c>
      <c r="E29" s="8" t="s">
        <v>30</v>
      </c>
      <c r="F29" s="8" t="s">
        <v>30</v>
      </c>
      <c r="G29" s="7">
        <v>1</v>
      </c>
      <c r="H29" s="9">
        <v>6807.5</v>
      </c>
    </row>
    <row r="30" spans="1:8" ht="22.05" customHeight="1">
      <c r="A30" s="1" t="s">
        <v>41</v>
      </c>
      <c r="B30" s="4">
        <v>1</v>
      </c>
      <c r="C30" s="4">
        <v>1</v>
      </c>
      <c r="D30" s="4">
        <v>1</v>
      </c>
      <c r="E30" s="1" t="s">
        <v>16</v>
      </c>
      <c r="F30" s="1" t="s">
        <v>16</v>
      </c>
      <c r="G30" s="4">
        <v>1</v>
      </c>
      <c r="H30" s="4">
        <v>6525</v>
      </c>
    </row>
    <row r="31" spans="1:8" ht="22.05" customHeight="1">
      <c r="A31" s="8" t="s">
        <v>42</v>
      </c>
      <c r="B31" s="7">
        <v>1</v>
      </c>
      <c r="C31" s="7">
        <v>1</v>
      </c>
      <c r="D31" s="7">
        <v>1</v>
      </c>
      <c r="E31" s="8" t="s">
        <v>16</v>
      </c>
      <c r="F31" s="8" t="s">
        <v>16</v>
      </c>
      <c r="G31" s="7">
        <v>1</v>
      </c>
      <c r="H31" s="7">
        <v>6090</v>
      </c>
    </row>
    <row r="32" spans="1:8" ht="22.05" customHeight="1">
      <c r="A32" s="1" t="s">
        <v>34</v>
      </c>
      <c r="B32" s="4">
        <v>3</v>
      </c>
      <c r="C32" s="4">
        <v>3</v>
      </c>
      <c r="D32" s="4">
        <v>2</v>
      </c>
      <c r="E32" s="1" t="s">
        <v>16</v>
      </c>
      <c r="F32" s="1" t="s">
        <v>13</v>
      </c>
      <c r="G32" s="4">
        <v>3</v>
      </c>
      <c r="H32" s="5">
        <v>5113.5700000000006</v>
      </c>
    </row>
    <row r="33" spans="1:8" ht="22.05" customHeight="1">
      <c r="A33" s="8" t="s">
        <v>43</v>
      </c>
      <c r="B33" s="7">
        <v>1</v>
      </c>
      <c r="C33" s="7">
        <v>1</v>
      </c>
      <c r="D33" s="7">
        <v>1</v>
      </c>
      <c r="E33" s="8" t="s">
        <v>16</v>
      </c>
      <c r="F33" s="8" t="s">
        <v>16</v>
      </c>
      <c r="G33" s="7">
        <v>1</v>
      </c>
      <c r="H33" s="7">
        <v>4300</v>
      </c>
    </row>
    <row r="34" spans="1:8" ht="22.05" customHeight="1">
      <c r="A34" s="1" t="s">
        <v>33</v>
      </c>
      <c r="B34" s="4">
        <v>1</v>
      </c>
      <c r="C34" s="4">
        <v>1</v>
      </c>
      <c r="D34" s="4">
        <v>1</v>
      </c>
      <c r="E34" s="1" t="s">
        <v>14</v>
      </c>
      <c r="F34" s="1" t="s">
        <v>14</v>
      </c>
      <c r="G34" s="4">
        <v>1</v>
      </c>
      <c r="H34" s="5">
        <v>3972.5</v>
      </c>
    </row>
    <row r="35" spans="1:8" ht="22.05" customHeight="1">
      <c r="A35" s="8" t="s">
        <v>44</v>
      </c>
      <c r="B35" s="7">
        <v>1</v>
      </c>
      <c r="C35" s="7">
        <v>1</v>
      </c>
      <c r="D35" s="7">
        <v>1</v>
      </c>
      <c r="E35" s="8" t="s">
        <v>16</v>
      </c>
      <c r="F35" s="8" t="s">
        <v>16</v>
      </c>
      <c r="G35" s="7">
        <v>1</v>
      </c>
      <c r="H35" s="9">
        <v>3262.5</v>
      </c>
    </row>
    <row r="36" spans="1:8" ht="22.05" customHeight="1">
      <c r="A36" s="1" t="s">
        <v>45</v>
      </c>
      <c r="B36" s="4">
        <v>1</v>
      </c>
      <c r="C36" s="4">
        <v>1</v>
      </c>
      <c r="D36" s="4">
        <v>1</v>
      </c>
      <c r="E36" s="1" t="s">
        <v>16</v>
      </c>
      <c r="F36" s="1" t="s">
        <v>16</v>
      </c>
      <c r="G36" s="4">
        <v>1</v>
      </c>
      <c r="H36" s="4">
        <v>3120</v>
      </c>
    </row>
    <row r="37" spans="1:8" ht="25.95" customHeight="1">
      <c r="A37" s="10" t="s">
        <v>49</v>
      </c>
      <c r="B37" s="11">
        <v>127</v>
      </c>
      <c r="C37" s="11">
        <v>77</v>
      </c>
      <c r="D37" s="11">
        <v>87</v>
      </c>
      <c r="E37" s="11"/>
      <c r="F37" s="11"/>
      <c r="G37" s="11">
        <v>159</v>
      </c>
      <c r="H37" s="12">
        <v>1842597.5</v>
      </c>
    </row>
  </sheetData>
  <autoFilter ref="A7:H37" xr:uid="{00000000-0009-0000-0000-000001000000}"/>
  <mergeCells count="10">
    <mergeCell ref="A1:H1"/>
    <mergeCell ref="C4:D4"/>
    <mergeCell ref="A4:B4"/>
    <mergeCell ref="G4:H4"/>
    <mergeCell ref="E4:F4"/>
    <mergeCell ref="A2:H2"/>
    <mergeCell ref="C5:D5"/>
    <mergeCell ref="A5:B5"/>
    <mergeCell ref="G5:H5"/>
    <mergeCell ref="E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2"/>
  <sheetViews>
    <sheetView rightToLeft="1" workbookViewId="0"/>
  </sheetViews>
  <sheetFormatPr defaultRowHeight="14.4"/>
  <cols>
    <col min="1" max="1" width="33.77734375" customWidth="1"/>
    <col min="2" max="2" width="38.77734375" customWidth="1"/>
    <col min="3" max="3" width="14.77734375" customWidth="1"/>
    <col min="4" max="4" width="22.77734375" customWidth="1"/>
    <col min="5" max="5" width="16.77734375" customWidth="1"/>
    <col min="6" max="6" width="42.77734375" customWidth="1"/>
  </cols>
  <sheetData>
    <row r="1" spans="1:6" ht="36" customHeight="1">
      <c r="A1" s="14" t="s">
        <v>67</v>
      </c>
      <c r="B1" s="15"/>
      <c r="C1" s="15"/>
      <c r="D1" s="15"/>
      <c r="E1" s="15"/>
      <c r="F1" s="28"/>
    </row>
    <row r="2" spans="1:6" ht="22.05" customHeight="1">
      <c r="A2" s="16" t="s">
        <v>68</v>
      </c>
      <c r="B2" s="17"/>
      <c r="C2" s="17"/>
      <c r="D2" s="17"/>
      <c r="E2" s="17"/>
      <c r="F2" s="17"/>
    </row>
    <row r="3" spans="1:6" ht="7.95" customHeight="1"/>
    <row r="4" spans="1:6" ht="28.05" customHeight="1">
      <c r="A4" s="3" t="s">
        <v>3</v>
      </c>
      <c r="B4" s="3" t="s">
        <v>69</v>
      </c>
      <c r="C4" s="3" t="s">
        <v>8</v>
      </c>
      <c r="D4" s="3" t="s">
        <v>9</v>
      </c>
      <c r="E4" s="3" t="s">
        <v>4</v>
      </c>
      <c r="F4" s="3" t="s">
        <v>70</v>
      </c>
    </row>
    <row r="5" spans="1:6" ht="22.05" customHeight="1">
      <c r="A5" s="1" t="s">
        <v>15</v>
      </c>
      <c r="B5" s="1" t="s">
        <v>71</v>
      </c>
      <c r="C5" s="4">
        <v>5</v>
      </c>
      <c r="D5" s="5">
        <v>113830.94</v>
      </c>
      <c r="E5" s="4">
        <v>5</v>
      </c>
      <c r="F5" s="1" t="s">
        <v>72</v>
      </c>
    </row>
    <row r="6" spans="1:6" ht="22.05" customHeight="1">
      <c r="A6" s="8" t="s">
        <v>15</v>
      </c>
      <c r="B6" s="8" t="s">
        <v>73</v>
      </c>
      <c r="C6" s="7">
        <v>4</v>
      </c>
      <c r="D6" s="9">
        <v>108008.56</v>
      </c>
      <c r="E6" s="7">
        <v>4</v>
      </c>
      <c r="F6" s="8" t="s">
        <v>74</v>
      </c>
    </row>
    <row r="7" spans="1:6" ht="22.05" customHeight="1">
      <c r="A7" s="1" t="s">
        <v>12</v>
      </c>
      <c r="B7" s="1" t="s">
        <v>75</v>
      </c>
      <c r="C7" s="4">
        <v>4</v>
      </c>
      <c r="D7" s="4">
        <v>210335</v>
      </c>
      <c r="E7" s="4">
        <v>4</v>
      </c>
      <c r="F7" s="1" t="s">
        <v>76</v>
      </c>
    </row>
    <row r="8" spans="1:6" ht="22.05" customHeight="1">
      <c r="A8" s="8" t="s">
        <v>47</v>
      </c>
      <c r="B8" s="8" t="s">
        <v>77</v>
      </c>
      <c r="C8" s="7">
        <v>3</v>
      </c>
      <c r="D8" s="7">
        <v>81650</v>
      </c>
      <c r="E8" s="7">
        <v>3</v>
      </c>
      <c r="F8" s="8" t="s">
        <v>78</v>
      </c>
    </row>
    <row r="9" spans="1:6" ht="22.05" customHeight="1">
      <c r="A9" s="1" t="s">
        <v>47</v>
      </c>
      <c r="B9" s="1" t="s">
        <v>79</v>
      </c>
      <c r="C9" s="4">
        <v>1</v>
      </c>
      <c r="D9" s="4">
        <v>51500</v>
      </c>
      <c r="E9" s="4">
        <v>1</v>
      </c>
      <c r="F9" s="1" t="s">
        <v>80</v>
      </c>
    </row>
    <row r="10" spans="1:6" ht="22.05" customHeight="1">
      <c r="A10" s="8" t="s">
        <v>47</v>
      </c>
      <c r="B10" s="8" t="s">
        <v>81</v>
      </c>
      <c r="C10" s="7">
        <v>1</v>
      </c>
      <c r="D10" s="7">
        <v>10000</v>
      </c>
      <c r="E10" s="7">
        <v>1</v>
      </c>
      <c r="F10" s="8" t="s">
        <v>80</v>
      </c>
    </row>
    <row r="11" spans="1:6" ht="22.05" customHeight="1">
      <c r="A11" s="1" t="s">
        <v>47</v>
      </c>
      <c r="B11" s="1" t="s">
        <v>82</v>
      </c>
      <c r="C11" s="4">
        <v>1</v>
      </c>
      <c r="D11" s="4">
        <v>8000</v>
      </c>
      <c r="E11" s="4">
        <v>1</v>
      </c>
      <c r="F11" s="1" t="s">
        <v>83</v>
      </c>
    </row>
    <row r="12" spans="1:6" ht="22.05" customHeight="1">
      <c r="A12" s="8" t="s">
        <v>47</v>
      </c>
      <c r="B12" s="8" t="s">
        <v>84</v>
      </c>
      <c r="C12" s="7">
        <v>2</v>
      </c>
      <c r="D12" s="7">
        <v>7600</v>
      </c>
      <c r="E12" s="7">
        <v>2</v>
      </c>
      <c r="F12" s="8" t="s">
        <v>85</v>
      </c>
    </row>
    <row r="13" spans="1:6" ht="22.05" customHeight="1">
      <c r="A13" s="1" t="s">
        <v>47</v>
      </c>
      <c r="B13" s="1" t="s">
        <v>86</v>
      </c>
      <c r="C13" s="4">
        <v>1</v>
      </c>
      <c r="D13" s="4">
        <v>2900</v>
      </c>
      <c r="E13" s="4">
        <v>1</v>
      </c>
      <c r="F13" s="1" t="s">
        <v>83</v>
      </c>
    </row>
    <row r="14" spans="1:6" ht="22.05" customHeight="1">
      <c r="A14" s="8" t="s">
        <v>47</v>
      </c>
      <c r="B14" s="8" t="s">
        <v>87</v>
      </c>
      <c r="C14" s="7">
        <v>1</v>
      </c>
      <c r="D14" s="7">
        <v>2600</v>
      </c>
      <c r="E14" s="7">
        <v>1</v>
      </c>
      <c r="F14" s="8" t="s">
        <v>83</v>
      </c>
    </row>
    <row r="15" spans="1:6" ht="22.05" customHeight="1">
      <c r="A15" s="1" t="s">
        <v>47</v>
      </c>
      <c r="B15" s="1" t="s">
        <v>88</v>
      </c>
      <c r="C15" s="4">
        <v>1</v>
      </c>
      <c r="D15" s="4">
        <v>1900</v>
      </c>
      <c r="E15" s="4">
        <v>1</v>
      </c>
      <c r="F15" s="1" t="s">
        <v>89</v>
      </c>
    </row>
    <row r="16" spans="1:6" ht="22.05" customHeight="1">
      <c r="A16" s="8" t="s">
        <v>47</v>
      </c>
      <c r="B16" s="8" t="s">
        <v>90</v>
      </c>
      <c r="C16" s="7">
        <v>1</v>
      </c>
      <c r="D16" s="7">
        <v>1900</v>
      </c>
      <c r="E16" s="7">
        <v>1</v>
      </c>
      <c r="F16" s="8" t="s">
        <v>89</v>
      </c>
    </row>
    <row r="17" spans="1:6" ht="22.05" customHeight="1">
      <c r="A17" s="1" t="s">
        <v>47</v>
      </c>
      <c r="B17" s="1" t="s">
        <v>91</v>
      </c>
      <c r="C17" s="4">
        <v>2</v>
      </c>
      <c r="D17" s="4">
        <v>1600</v>
      </c>
      <c r="E17" s="4">
        <v>2</v>
      </c>
      <c r="F17" s="1" t="s">
        <v>92</v>
      </c>
    </row>
    <row r="18" spans="1:6" ht="22.05" customHeight="1">
      <c r="A18" s="8" t="s">
        <v>47</v>
      </c>
      <c r="B18" s="8" t="s">
        <v>93</v>
      </c>
      <c r="C18" s="7">
        <v>1</v>
      </c>
      <c r="D18" s="7">
        <v>900</v>
      </c>
      <c r="E18" s="7">
        <v>1</v>
      </c>
      <c r="F18" s="8" t="s">
        <v>89</v>
      </c>
    </row>
    <row r="19" spans="1:6" ht="22.05" customHeight="1">
      <c r="A19" s="1" t="s">
        <v>47</v>
      </c>
      <c r="B19" s="1" t="s">
        <v>94</v>
      </c>
      <c r="C19" s="4">
        <v>1</v>
      </c>
      <c r="D19" s="4">
        <v>900</v>
      </c>
      <c r="E19" s="4">
        <v>1</v>
      </c>
      <c r="F19" s="1" t="s">
        <v>95</v>
      </c>
    </row>
    <row r="20" spans="1:6" ht="22.05" customHeight="1">
      <c r="A20" s="8" t="s">
        <v>47</v>
      </c>
      <c r="B20" s="8" t="s">
        <v>96</v>
      </c>
      <c r="C20" s="7">
        <v>1</v>
      </c>
      <c r="D20" s="7">
        <v>750</v>
      </c>
      <c r="E20" s="7">
        <v>1</v>
      </c>
      <c r="F20" s="8" t="s">
        <v>97</v>
      </c>
    </row>
    <row r="21" spans="1:6" ht="22.05" customHeight="1">
      <c r="A21" s="1" t="s">
        <v>47</v>
      </c>
      <c r="B21" s="1" t="s">
        <v>98</v>
      </c>
      <c r="C21" s="4">
        <v>1</v>
      </c>
      <c r="D21" s="4">
        <v>750</v>
      </c>
      <c r="E21" s="4">
        <v>1</v>
      </c>
      <c r="F21" s="1" t="s">
        <v>97</v>
      </c>
    </row>
    <row r="22" spans="1:6" ht="22.05" customHeight="1">
      <c r="A22" s="8" t="s">
        <v>47</v>
      </c>
      <c r="B22" s="8" t="s">
        <v>99</v>
      </c>
      <c r="C22" s="7">
        <v>1</v>
      </c>
      <c r="D22" s="7">
        <v>750</v>
      </c>
      <c r="E22" s="7">
        <v>1</v>
      </c>
      <c r="F22" s="8" t="s">
        <v>95</v>
      </c>
    </row>
    <row r="23" spans="1:6" ht="22.05" customHeight="1">
      <c r="A23" s="1" t="s">
        <v>47</v>
      </c>
      <c r="B23" s="1" t="s">
        <v>100</v>
      </c>
      <c r="C23" s="4">
        <v>1</v>
      </c>
      <c r="D23" s="4">
        <v>625</v>
      </c>
      <c r="E23" s="4">
        <v>1</v>
      </c>
      <c r="F23" s="1" t="s">
        <v>80</v>
      </c>
    </row>
    <row r="24" spans="1:6" ht="22.05" customHeight="1">
      <c r="A24" s="8" t="s">
        <v>47</v>
      </c>
      <c r="B24" s="8" t="s">
        <v>101</v>
      </c>
      <c r="C24" s="7">
        <v>1</v>
      </c>
      <c r="D24" s="7">
        <v>550</v>
      </c>
      <c r="E24" s="7">
        <v>1</v>
      </c>
      <c r="F24" s="8" t="s">
        <v>97</v>
      </c>
    </row>
    <row r="25" spans="1:6" ht="22.05" customHeight="1">
      <c r="A25" s="1" t="s">
        <v>47</v>
      </c>
      <c r="B25" s="1" t="s">
        <v>102</v>
      </c>
      <c r="C25" s="4">
        <v>1</v>
      </c>
      <c r="D25" s="4">
        <v>450</v>
      </c>
      <c r="E25" s="4">
        <v>1</v>
      </c>
      <c r="F25" s="1" t="s">
        <v>97</v>
      </c>
    </row>
    <row r="26" spans="1:6" ht="22.05" customHeight="1">
      <c r="A26" s="8" t="s">
        <v>47</v>
      </c>
      <c r="B26" s="8" t="s">
        <v>103</v>
      </c>
      <c r="C26" s="7">
        <v>1</v>
      </c>
      <c r="D26" s="7">
        <v>450</v>
      </c>
      <c r="E26" s="7">
        <v>1</v>
      </c>
      <c r="F26" s="8" t="s">
        <v>95</v>
      </c>
    </row>
    <row r="27" spans="1:6" ht="22.05" customHeight="1">
      <c r="A27" s="1" t="s">
        <v>47</v>
      </c>
      <c r="B27" s="1" t="s">
        <v>104</v>
      </c>
      <c r="C27" s="4">
        <v>1</v>
      </c>
      <c r="D27" s="4">
        <v>450</v>
      </c>
      <c r="E27" s="4">
        <v>1</v>
      </c>
      <c r="F27" s="1" t="s">
        <v>97</v>
      </c>
    </row>
    <row r="28" spans="1:6" ht="22.05" customHeight="1">
      <c r="A28" s="8" t="s">
        <v>47</v>
      </c>
      <c r="B28" s="8" t="s">
        <v>105</v>
      </c>
      <c r="C28" s="7">
        <v>1</v>
      </c>
      <c r="D28" s="7">
        <v>450</v>
      </c>
      <c r="E28" s="7">
        <v>1</v>
      </c>
      <c r="F28" s="8" t="s">
        <v>97</v>
      </c>
    </row>
    <row r="29" spans="1:6" ht="22.05" customHeight="1">
      <c r="A29" s="1" t="s">
        <v>47</v>
      </c>
      <c r="B29" s="1" t="s">
        <v>106</v>
      </c>
      <c r="C29" s="4">
        <v>1</v>
      </c>
      <c r="D29" s="4">
        <v>375</v>
      </c>
      <c r="E29" s="4">
        <v>1</v>
      </c>
      <c r="F29" s="1" t="s">
        <v>97</v>
      </c>
    </row>
    <row r="30" spans="1:6" ht="22.05" customHeight="1">
      <c r="A30" s="8" t="s">
        <v>47</v>
      </c>
      <c r="B30" s="8" t="s">
        <v>107</v>
      </c>
      <c r="C30" s="7">
        <v>1</v>
      </c>
      <c r="D30" s="7">
        <v>300</v>
      </c>
      <c r="E30" s="7">
        <v>1</v>
      </c>
      <c r="F30" s="8" t="s">
        <v>97</v>
      </c>
    </row>
    <row r="31" spans="1:6" ht="22.05" customHeight="1">
      <c r="A31" s="1" t="s">
        <v>47</v>
      </c>
      <c r="B31" s="1" t="s">
        <v>108</v>
      </c>
      <c r="C31" s="4">
        <v>1</v>
      </c>
      <c r="D31" s="4">
        <v>300</v>
      </c>
      <c r="E31" s="4">
        <v>1</v>
      </c>
      <c r="F31" s="1" t="s">
        <v>97</v>
      </c>
    </row>
    <row r="32" spans="1:6" ht="22.05" customHeight="1">
      <c r="A32" s="8" t="s">
        <v>47</v>
      </c>
      <c r="B32" s="8" t="s">
        <v>109</v>
      </c>
      <c r="C32" s="7">
        <v>1</v>
      </c>
      <c r="D32" s="7">
        <v>270</v>
      </c>
      <c r="E32" s="7">
        <v>1</v>
      </c>
      <c r="F32" s="8" t="s">
        <v>89</v>
      </c>
    </row>
    <row r="33" spans="1:6" ht="22.05" customHeight="1">
      <c r="A33" s="1" t="s">
        <v>47</v>
      </c>
      <c r="B33" s="1" t="s">
        <v>110</v>
      </c>
      <c r="C33" s="4">
        <v>1</v>
      </c>
      <c r="D33" s="4">
        <v>180</v>
      </c>
      <c r="E33" s="4">
        <v>1</v>
      </c>
      <c r="F33" s="1" t="s">
        <v>111</v>
      </c>
    </row>
    <row r="34" spans="1:6" ht="22.05" customHeight="1">
      <c r="A34" s="8" t="s">
        <v>47</v>
      </c>
      <c r="B34" s="8" t="s">
        <v>112</v>
      </c>
      <c r="C34" s="7">
        <v>1</v>
      </c>
      <c r="D34" s="7">
        <v>150</v>
      </c>
      <c r="E34" s="7">
        <v>1</v>
      </c>
      <c r="F34" s="8" t="s">
        <v>95</v>
      </c>
    </row>
    <row r="35" spans="1:6" ht="22.05" customHeight="1">
      <c r="A35" s="1" t="s">
        <v>47</v>
      </c>
      <c r="B35" s="1" t="s">
        <v>113</v>
      </c>
      <c r="C35" s="4">
        <v>1</v>
      </c>
      <c r="D35" s="4">
        <v>130</v>
      </c>
      <c r="E35" s="4">
        <v>1</v>
      </c>
      <c r="F35" s="1" t="s">
        <v>89</v>
      </c>
    </row>
    <row r="36" spans="1:6" ht="22.05" customHeight="1">
      <c r="A36" s="8" t="s">
        <v>47</v>
      </c>
      <c r="B36" s="8" t="s">
        <v>114</v>
      </c>
      <c r="C36" s="7">
        <v>1</v>
      </c>
      <c r="D36" s="7">
        <v>120</v>
      </c>
      <c r="E36" s="7">
        <v>1</v>
      </c>
      <c r="F36" s="8" t="s">
        <v>115</v>
      </c>
    </row>
    <row r="37" spans="1:6" ht="22.05" customHeight="1">
      <c r="A37" s="1" t="s">
        <v>47</v>
      </c>
      <c r="B37" s="1" t="s">
        <v>116</v>
      </c>
      <c r="C37" s="4">
        <v>1</v>
      </c>
      <c r="D37" s="4">
        <v>120</v>
      </c>
      <c r="E37" s="4">
        <v>1</v>
      </c>
      <c r="F37" s="1" t="s">
        <v>97</v>
      </c>
    </row>
    <row r="38" spans="1:6" ht="22.05" customHeight="1">
      <c r="A38" s="8" t="s">
        <v>47</v>
      </c>
      <c r="B38" s="8" t="s">
        <v>117</v>
      </c>
      <c r="C38" s="7">
        <v>2</v>
      </c>
      <c r="D38" s="7">
        <v>105</v>
      </c>
      <c r="E38" s="7">
        <v>2</v>
      </c>
      <c r="F38" s="8" t="s">
        <v>118</v>
      </c>
    </row>
    <row r="39" spans="1:6" ht="22.05" customHeight="1">
      <c r="A39" s="1" t="s">
        <v>47</v>
      </c>
      <c r="B39" s="1" t="s">
        <v>119</v>
      </c>
      <c r="C39" s="4">
        <v>1</v>
      </c>
      <c r="D39" s="4">
        <v>90</v>
      </c>
      <c r="E39" s="4">
        <v>1</v>
      </c>
      <c r="F39" s="1" t="s">
        <v>89</v>
      </c>
    </row>
    <row r="40" spans="1:6" ht="22.05" customHeight="1">
      <c r="A40" s="8" t="s">
        <v>47</v>
      </c>
      <c r="B40" s="8" t="s">
        <v>120</v>
      </c>
      <c r="C40" s="7">
        <v>2</v>
      </c>
      <c r="D40" s="7">
        <v>60</v>
      </c>
      <c r="E40" s="7">
        <v>2</v>
      </c>
      <c r="F40" s="8" t="s">
        <v>118</v>
      </c>
    </row>
    <row r="41" spans="1:6" ht="22.05" customHeight="1">
      <c r="A41" s="1" t="s">
        <v>47</v>
      </c>
      <c r="B41" s="1" t="s">
        <v>121</v>
      </c>
      <c r="C41" s="4">
        <v>1</v>
      </c>
      <c r="D41" s="4">
        <v>60</v>
      </c>
      <c r="E41" s="4">
        <v>1</v>
      </c>
      <c r="F41" s="1" t="s">
        <v>97</v>
      </c>
    </row>
    <row r="42" spans="1:6" ht="22.05" customHeight="1">
      <c r="A42" s="8" t="s">
        <v>47</v>
      </c>
      <c r="B42" s="8" t="s">
        <v>122</v>
      </c>
      <c r="C42" s="7">
        <v>1</v>
      </c>
      <c r="D42" s="7">
        <v>60</v>
      </c>
      <c r="E42" s="7">
        <v>1</v>
      </c>
      <c r="F42" s="8" t="s">
        <v>89</v>
      </c>
    </row>
    <row r="43" spans="1:6" ht="22.05" customHeight="1">
      <c r="A43" s="1" t="s">
        <v>47</v>
      </c>
      <c r="B43" s="1" t="s">
        <v>123</v>
      </c>
      <c r="C43" s="4">
        <v>1</v>
      </c>
      <c r="D43" s="4">
        <v>40</v>
      </c>
      <c r="E43" s="4">
        <v>1</v>
      </c>
      <c r="F43" s="1" t="s">
        <v>89</v>
      </c>
    </row>
    <row r="44" spans="1:6" ht="22.05" customHeight="1">
      <c r="A44" s="8" t="s">
        <v>47</v>
      </c>
      <c r="B44" s="8" t="s">
        <v>124</v>
      </c>
      <c r="C44" s="7">
        <v>1</v>
      </c>
      <c r="D44" s="7">
        <v>10</v>
      </c>
      <c r="E44" s="7">
        <v>1</v>
      </c>
      <c r="F44" s="8" t="s">
        <v>95</v>
      </c>
    </row>
    <row r="45" spans="1:6" ht="22.05" customHeight="1">
      <c r="A45" s="1" t="s">
        <v>17</v>
      </c>
      <c r="B45" s="1" t="s">
        <v>71</v>
      </c>
      <c r="C45" s="4">
        <v>5</v>
      </c>
      <c r="D45" s="5">
        <v>107968.44</v>
      </c>
      <c r="E45" s="4">
        <v>5</v>
      </c>
      <c r="F45" s="1" t="s">
        <v>125</v>
      </c>
    </row>
    <row r="46" spans="1:6" ht="22.05" customHeight="1">
      <c r="A46" s="8" t="s">
        <v>17</v>
      </c>
      <c r="B46" s="8" t="s">
        <v>75</v>
      </c>
      <c r="C46" s="7">
        <v>1</v>
      </c>
      <c r="D46" s="7">
        <v>45450</v>
      </c>
      <c r="E46" s="7">
        <v>1</v>
      </c>
      <c r="F46" s="8" t="s">
        <v>126</v>
      </c>
    </row>
    <row r="47" spans="1:6" ht="22.05" customHeight="1">
      <c r="A47" s="1" t="s">
        <v>18</v>
      </c>
      <c r="B47" s="1" t="s">
        <v>75</v>
      </c>
      <c r="C47" s="4">
        <v>4</v>
      </c>
      <c r="D47" s="5">
        <v>133687.5</v>
      </c>
      <c r="E47" s="4">
        <v>4</v>
      </c>
      <c r="F47" s="1" t="s">
        <v>127</v>
      </c>
    </row>
    <row r="48" spans="1:6" ht="22.05" customHeight="1">
      <c r="A48" s="8" t="s">
        <v>21</v>
      </c>
      <c r="B48" s="8" t="s">
        <v>128</v>
      </c>
      <c r="C48" s="7">
        <v>5</v>
      </c>
      <c r="D48" s="9">
        <v>50699.69</v>
      </c>
      <c r="E48" s="7">
        <v>5</v>
      </c>
      <c r="F48" s="8" t="s">
        <v>129</v>
      </c>
    </row>
    <row r="49" spans="1:6" ht="22.05" customHeight="1">
      <c r="A49" s="1" t="s">
        <v>21</v>
      </c>
      <c r="B49" s="1" t="s">
        <v>130</v>
      </c>
      <c r="C49" s="4">
        <v>4</v>
      </c>
      <c r="D49" s="5">
        <v>43951.96</v>
      </c>
      <c r="E49" s="4">
        <v>4</v>
      </c>
      <c r="F49" s="1" t="s">
        <v>131</v>
      </c>
    </row>
    <row r="50" spans="1:6" ht="22.05" customHeight="1">
      <c r="A50" s="8" t="s">
        <v>36</v>
      </c>
      <c r="B50" s="8" t="s">
        <v>132</v>
      </c>
      <c r="C50" s="7">
        <v>3</v>
      </c>
      <c r="D50" s="9">
        <v>90907.5</v>
      </c>
      <c r="E50" s="7">
        <v>3</v>
      </c>
      <c r="F50" s="8" t="s">
        <v>133</v>
      </c>
    </row>
    <row r="51" spans="1:6" ht="22.05" customHeight="1">
      <c r="A51" s="1" t="s">
        <v>19</v>
      </c>
      <c r="B51" s="1" t="s">
        <v>75</v>
      </c>
      <c r="C51" s="4">
        <v>2</v>
      </c>
      <c r="D51" s="4">
        <v>87840</v>
      </c>
      <c r="E51" s="4">
        <v>2</v>
      </c>
      <c r="F51" s="1" t="s">
        <v>134</v>
      </c>
    </row>
    <row r="52" spans="1:6" ht="22.05" customHeight="1">
      <c r="A52" s="8" t="s">
        <v>23</v>
      </c>
      <c r="B52" s="8" t="s">
        <v>128</v>
      </c>
      <c r="C52" s="7">
        <v>5</v>
      </c>
      <c r="D52" s="9">
        <v>47181.75</v>
      </c>
      <c r="E52" s="7">
        <v>5</v>
      </c>
      <c r="F52" s="8" t="s">
        <v>135</v>
      </c>
    </row>
    <row r="53" spans="1:6" ht="22.05" customHeight="1">
      <c r="A53" s="1" t="s">
        <v>23</v>
      </c>
      <c r="B53" s="1" t="s">
        <v>130</v>
      </c>
      <c r="C53" s="4">
        <v>4</v>
      </c>
      <c r="D53" s="5">
        <v>39350.22</v>
      </c>
      <c r="E53" s="4">
        <v>4</v>
      </c>
      <c r="F53" s="1" t="s">
        <v>136</v>
      </c>
    </row>
    <row r="54" spans="1:6" ht="22.05" customHeight="1">
      <c r="A54" s="8" t="s">
        <v>24</v>
      </c>
      <c r="B54" s="8" t="s">
        <v>130</v>
      </c>
      <c r="C54" s="7">
        <v>4</v>
      </c>
      <c r="D54" s="9">
        <v>42815.76</v>
      </c>
      <c r="E54" s="7">
        <v>4</v>
      </c>
      <c r="F54" s="8" t="s">
        <v>137</v>
      </c>
    </row>
    <row r="55" spans="1:6" ht="22.05" customHeight="1">
      <c r="A55" s="1" t="s">
        <v>24</v>
      </c>
      <c r="B55" s="1" t="s">
        <v>128</v>
      </c>
      <c r="C55" s="4">
        <v>5</v>
      </c>
      <c r="D55" s="5">
        <v>41312.25</v>
      </c>
      <c r="E55" s="4">
        <v>5</v>
      </c>
      <c r="F55" s="1" t="s">
        <v>138</v>
      </c>
    </row>
    <row r="56" spans="1:6" ht="22.05" customHeight="1">
      <c r="A56" s="8" t="s">
        <v>22</v>
      </c>
      <c r="B56" s="8" t="s">
        <v>75</v>
      </c>
      <c r="C56" s="7">
        <v>5</v>
      </c>
      <c r="D56" s="9">
        <v>81152.5</v>
      </c>
      <c r="E56" s="7">
        <v>5</v>
      </c>
      <c r="F56" s="8" t="s">
        <v>139</v>
      </c>
    </row>
    <row r="57" spans="1:6" ht="22.05" customHeight="1">
      <c r="A57" s="1" t="s">
        <v>25</v>
      </c>
      <c r="B57" s="1" t="s">
        <v>128</v>
      </c>
      <c r="C57" s="4">
        <v>5</v>
      </c>
      <c r="D57" s="5">
        <v>37603.519999999997</v>
      </c>
      <c r="E57" s="4">
        <v>5</v>
      </c>
      <c r="F57" s="1" t="s">
        <v>140</v>
      </c>
    </row>
    <row r="58" spans="1:6" ht="22.05" customHeight="1">
      <c r="A58" s="8" t="s">
        <v>25</v>
      </c>
      <c r="B58" s="8" t="s">
        <v>130</v>
      </c>
      <c r="C58" s="7">
        <v>4</v>
      </c>
      <c r="D58" s="9">
        <v>28994.42</v>
      </c>
      <c r="E58" s="7">
        <v>4</v>
      </c>
      <c r="F58" s="8" t="s">
        <v>141</v>
      </c>
    </row>
    <row r="59" spans="1:6" ht="22.05" customHeight="1">
      <c r="A59" s="1" t="s">
        <v>26</v>
      </c>
      <c r="B59" s="1" t="s">
        <v>128</v>
      </c>
      <c r="C59" s="4">
        <v>4</v>
      </c>
      <c r="D59" s="5">
        <v>35475.009999999987</v>
      </c>
      <c r="E59" s="4">
        <v>4</v>
      </c>
      <c r="F59" s="1" t="s">
        <v>142</v>
      </c>
    </row>
    <row r="60" spans="1:6" ht="22.05" customHeight="1">
      <c r="A60" s="8" t="s">
        <v>26</v>
      </c>
      <c r="B60" s="8" t="s">
        <v>130</v>
      </c>
      <c r="C60" s="7">
        <v>3</v>
      </c>
      <c r="D60" s="9">
        <v>28524.86</v>
      </c>
      <c r="E60" s="7">
        <v>3</v>
      </c>
      <c r="F60" s="8" t="s">
        <v>143</v>
      </c>
    </row>
    <row r="61" spans="1:6" ht="22.05" customHeight="1">
      <c r="A61" s="1" t="s">
        <v>27</v>
      </c>
      <c r="B61" s="1" t="s">
        <v>130</v>
      </c>
      <c r="C61" s="4">
        <v>4</v>
      </c>
      <c r="D61" s="5">
        <v>35141.08</v>
      </c>
      <c r="E61" s="4">
        <v>4</v>
      </c>
      <c r="F61" s="1" t="s">
        <v>144</v>
      </c>
    </row>
    <row r="62" spans="1:6" ht="22.05" customHeight="1">
      <c r="A62" s="8" t="s">
        <v>27</v>
      </c>
      <c r="B62" s="8" t="s">
        <v>128</v>
      </c>
      <c r="C62" s="7">
        <v>5</v>
      </c>
      <c r="D62" s="9">
        <v>23150.13</v>
      </c>
      <c r="E62" s="7">
        <v>5</v>
      </c>
      <c r="F62" s="8" t="s">
        <v>145</v>
      </c>
    </row>
    <row r="63" spans="1:6" ht="22.05" customHeight="1">
      <c r="A63" s="1" t="s">
        <v>28</v>
      </c>
      <c r="B63" s="1" t="s">
        <v>130</v>
      </c>
      <c r="C63" s="4">
        <v>4</v>
      </c>
      <c r="D63" s="5">
        <v>34907.339999999997</v>
      </c>
      <c r="E63" s="4">
        <v>4</v>
      </c>
      <c r="F63" s="1" t="s">
        <v>146</v>
      </c>
    </row>
    <row r="64" spans="1:6" ht="22.05" customHeight="1">
      <c r="A64" s="8" t="s">
        <v>28</v>
      </c>
      <c r="B64" s="8" t="s">
        <v>128</v>
      </c>
      <c r="C64" s="7">
        <v>5</v>
      </c>
      <c r="D64" s="9">
        <v>19414.5</v>
      </c>
      <c r="E64" s="7">
        <v>5</v>
      </c>
      <c r="F64" s="8" t="s">
        <v>147</v>
      </c>
    </row>
    <row r="65" spans="1:6" ht="22.05" customHeight="1">
      <c r="A65" s="1" t="s">
        <v>37</v>
      </c>
      <c r="B65" s="1" t="s">
        <v>132</v>
      </c>
      <c r="C65" s="4">
        <v>3</v>
      </c>
      <c r="D65" s="5">
        <v>33482.5</v>
      </c>
      <c r="E65" s="4">
        <v>3</v>
      </c>
      <c r="F65" s="1" t="s">
        <v>148</v>
      </c>
    </row>
    <row r="66" spans="1:6" ht="22.05" customHeight="1">
      <c r="A66" s="8" t="s">
        <v>38</v>
      </c>
      <c r="B66" s="8" t="s">
        <v>132</v>
      </c>
      <c r="C66" s="7">
        <v>3</v>
      </c>
      <c r="D66" s="7">
        <v>28375</v>
      </c>
      <c r="E66" s="7">
        <v>3</v>
      </c>
      <c r="F66" s="8" t="s">
        <v>149</v>
      </c>
    </row>
    <row r="67" spans="1:6" ht="22.05" customHeight="1">
      <c r="A67" s="1" t="s">
        <v>39</v>
      </c>
      <c r="B67" s="1" t="s">
        <v>150</v>
      </c>
      <c r="C67" s="4">
        <v>1</v>
      </c>
      <c r="D67" s="4">
        <v>25587</v>
      </c>
      <c r="E67" s="4">
        <v>1</v>
      </c>
      <c r="F67" s="1" t="s">
        <v>151</v>
      </c>
    </row>
    <row r="68" spans="1:6" ht="22.05" customHeight="1">
      <c r="A68" s="8" t="s">
        <v>31</v>
      </c>
      <c r="B68" s="8" t="s">
        <v>128</v>
      </c>
      <c r="C68" s="7">
        <v>1</v>
      </c>
      <c r="D68" s="7">
        <v>17458</v>
      </c>
      <c r="E68" s="7">
        <v>1</v>
      </c>
      <c r="F68" s="8" t="s">
        <v>152</v>
      </c>
    </row>
    <row r="69" spans="1:6" ht="22.05" customHeight="1">
      <c r="A69" s="1" t="s">
        <v>31</v>
      </c>
      <c r="B69" s="1" t="s">
        <v>153</v>
      </c>
      <c r="C69" s="4">
        <v>1</v>
      </c>
      <c r="D69" s="4">
        <v>2726</v>
      </c>
      <c r="E69" s="4">
        <v>1</v>
      </c>
      <c r="F69" s="1" t="s">
        <v>154</v>
      </c>
    </row>
    <row r="70" spans="1:6" ht="22.05" customHeight="1">
      <c r="A70" s="8" t="s">
        <v>29</v>
      </c>
      <c r="B70" s="8" t="s">
        <v>75</v>
      </c>
      <c r="C70" s="7">
        <v>2</v>
      </c>
      <c r="D70" s="7">
        <v>19950</v>
      </c>
      <c r="E70" s="7">
        <v>2</v>
      </c>
      <c r="F70" s="8" t="s">
        <v>155</v>
      </c>
    </row>
    <row r="71" spans="1:6" ht="22.05" customHeight="1">
      <c r="A71" s="1" t="s">
        <v>32</v>
      </c>
      <c r="B71" s="1" t="s">
        <v>75</v>
      </c>
      <c r="C71" s="4">
        <v>1</v>
      </c>
      <c r="D71" s="4">
        <v>9080</v>
      </c>
      <c r="E71" s="4">
        <v>1</v>
      </c>
      <c r="F71" s="1" t="s">
        <v>156</v>
      </c>
    </row>
    <row r="72" spans="1:6" ht="22.05" customHeight="1">
      <c r="A72" s="8" t="s">
        <v>40</v>
      </c>
      <c r="B72" s="8" t="s">
        <v>132</v>
      </c>
      <c r="C72" s="7">
        <v>1</v>
      </c>
      <c r="D72" s="9">
        <v>6807.5</v>
      </c>
      <c r="E72" s="7">
        <v>1</v>
      </c>
      <c r="F72" s="8" t="s">
        <v>157</v>
      </c>
    </row>
    <row r="73" spans="1:6" ht="22.05" customHeight="1">
      <c r="A73" s="1" t="s">
        <v>41</v>
      </c>
      <c r="B73" s="1" t="s">
        <v>153</v>
      </c>
      <c r="C73" s="4">
        <v>1</v>
      </c>
      <c r="D73" s="4">
        <v>6525</v>
      </c>
      <c r="E73" s="4">
        <v>1</v>
      </c>
      <c r="F73" s="1" t="s">
        <v>158</v>
      </c>
    </row>
    <row r="74" spans="1:6" ht="22.05" customHeight="1">
      <c r="A74" s="8" t="s">
        <v>42</v>
      </c>
      <c r="B74" s="8" t="s">
        <v>153</v>
      </c>
      <c r="C74" s="7">
        <v>1</v>
      </c>
      <c r="D74" s="7">
        <v>6090</v>
      </c>
      <c r="E74" s="7">
        <v>1</v>
      </c>
      <c r="F74" s="8" t="s">
        <v>159</v>
      </c>
    </row>
    <row r="75" spans="1:6" ht="22.05" customHeight="1">
      <c r="A75" s="1" t="s">
        <v>34</v>
      </c>
      <c r="B75" s="1" t="s">
        <v>153</v>
      </c>
      <c r="C75" s="4">
        <v>1</v>
      </c>
      <c r="D75" s="5">
        <v>3304.69</v>
      </c>
      <c r="E75" s="4">
        <v>1</v>
      </c>
      <c r="F75" s="1" t="s">
        <v>160</v>
      </c>
    </row>
    <row r="76" spans="1:6" ht="22.05" customHeight="1">
      <c r="A76" s="8" t="s">
        <v>34</v>
      </c>
      <c r="B76" s="8" t="s">
        <v>130</v>
      </c>
      <c r="C76" s="7">
        <v>1</v>
      </c>
      <c r="D76" s="9">
        <v>1607.32</v>
      </c>
      <c r="E76" s="7">
        <v>1</v>
      </c>
      <c r="F76" s="8" t="s">
        <v>161</v>
      </c>
    </row>
    <row r="77" spans="1:6" ht="22.05" customHeight="1">
      <c r="A77" s="1" t="s">
        <v>34</v>
      </c>
      <c r="B77" s="1" t="s">
        <v>128</v>
      </c>
      <c r="C77" s="4">
        <v>1</v>
      </c>
      <c r="D77" s="5">
        <v>201.56</v>
      </c>
      <c r="E77" s="4">
        <v>1</v>
      </c>
      <c r="F77" s="1" t="s">
        <v>162</v>
      </c>
    </row>
    <row r="78" spans="1:6" ht="22.05" customHeight="1">
      <c r="A78" s="8" t="s">
        <v>43</v>
      </c>
      <c r="B78" s="8" t="s">
        <v>153</v>
      </c>
      <c r="C78" s="7">
        <v>1</v>
      </c>
      <c r="D78" s="7">
        <v>4300</v>
      </c>
      <c r="E78" s="7">
        <v>1</v>
      </c>
      <c r="F78" s="8" t="s">
        <v>163</v>
      </c>
    </row>
    <row r="79" spans="1:6" ht="22.05" customHeight="1">
      <c r="A79" s="1" t="s">
        <v>33</v>
      </c>
      <c r="B79" s="1" t="s">
        <v>75</v>
      </c>
      <c r="C79" s="4">
        <v>1</v>
      </c>
      <c r="D79" s="5">
        <v>3972.5</v>
      </c>
      <c r="E79" s="4">
        <v>1</v>
      </c>
      <c r="F79" s="1" t="s">
        <v>164</v>
      </c>
    </row>
    <row r="80" spans="1:6" ht="22.05" customHeight="1">
      <c r="A80" s="8" t="s">
        <v>44</v>
      </c>
      <c r="B80" s="8" t="s">
        <v>153</v>
      </c>
      <c r="C80" s="7">
        <v>1</v>
      </c>
      <c r="D80" s="9">
        <v>3262.5</v>
      </c>
      <c r="E80" s="7">
        <v>1</v>
      </c>
      <c r="F80" s="8" t="s">
        <v>165</v>
      </c>
    </row>
    <row r="81" spans="1:6" ht="22.05" customHeight="1">
      <c r="A81" s="1" t="s">
        <v>45</v>
      </c>
      <c r="B81" s="1" t="s">
        <v>153</v>
      </c>
      <c r="C81" s="4">
        <v>1</v>
      </c>
      <c r="D81" s="4">
        <v>3120</v>
      </c>
      <c r="E81" s="4">
        <v>1</v>
      </c>
      <c r="F81" s="1" t="s">
        <v>166</v>
      </c>
    </row>
    <row r="82" spans="1:6" ht="25.95" customHeight="1">
      <c r="A82" s="12" t="s">
        <v>49</v>
      </c>
      <c r="B82" s="12"/>
      <c r="C82" s="11">
        <v>159</v>
      </c>
      <c r="D82" s="12">
        <v>1842597.5</v>
      </c>
      <c r="E82" s="11">
        <v>159</v>
      </c>
      <c r="F82" s="11"/>
    </row>
  </sheetData>
  <autoFilter ref="A4:F82" xr:uid="{00000000-0009-0000-0000-000002000000}"/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rightToLeft="1" tabSelected="1" topLeftCell="B1" workbookViewId="0">
      <selection activeCell="F10" sqref="F10"/>
    </sheetView>
  </sheetViews>
  <sheetFormatPr defaultRowHeight="14.4"/>
  <cols>
    <col min="1" max="1" width="34.77734375" customWidth="1"/>
    <col min="2" max="2" width="21.77734375" customWidth="1"/>
    <col min="3" max="3" width="16.77734375" customWidth="1"/>
    <col min="4" max="6" width="14.77734375" customWidth="1"/>
    <col min="7" max="8" width="17.77734375" customWidth="1"/>
    <col min="9" max="9" width="14.109375" bestFit="1" customWidth="1"/>
    <col min="10" max="10" width="12.33203125" bestFit="1" customWidth="1"/>
  </cols>
  <sheetData>
    <row r="1" spans="1:10" ht="36" customHeight="1">
      <c r="A1" s="14" t="s">
        <v>167</v>
      </c>
      <c r="B1" s="15"/>
      <c r="C1" s="15"/>
      <c r="D1" s="15"/>
      <c r="E1" s="15"/>
      <c r="F1" s="15"/>
      <c r="G1" s="15"/>
      <c r="H1" s="28"/>
    </row>
    <row r="2" spans="1:10" ht="22.05" customHeight="1">
      <c r="A2" s="16" t="s">
        <v>168</v>
      </c>
      <c r="B2" s="17"/>
      <c r="C2" s="17"/>
      <c r="D2" s="17"/>
      <c r="E2" s="17"/>
      <c r="F2" s="17"/>
      <c r="G2" s="17"/>
      <c r="H2" s="17"/>
    </row>
    <row r="3" spans="1:10" ht="7.95" customHeight="1"/>
    <row r="4" spans="1:10" ht="28.05" customHeight="1">
      <c r="A4" s="3" t="s">
        <v>2</v>
      </c>
      <c r="B4" s="3" t="s">
        <v>169</v>
      </c>
      <c r="C4" s="3" t="s">
        <v>4</v>
      </c>
      <c r="D4" s="3" t="s">
        <v>5</v>
      </c>
      <c r="E4" s="3" t="s">
        <v>6</v>
      </c>
      <c r="F4" s="3" t="s">
        <v>7</v>
      </c>
      <c r="G4" s="38" t="s">
        <v>53</v>
      </c>
      <c r="H4" s="42" t="s">
        <v>285</v>
      </c>
      <c r="I4" s="42" t="s">
        <v>10</v>
      </c>
      <c r="J4" s="42" t="s">
        <v>278</v>
      </c>
    </row>
    <row r="5" spans="1:10" ht="22.05" customHeight="1">
      <c r="A5" s="1" t="s">
        <v>11</v>
      </c>
      <c r="B5" s="4">
        <v>18</v>
      </c>
      <c r="C5" s="4">
        <v>90</v>
      </c>
      <c r="D5" s="4">
        <v>5</v>
      </c>
      <c r="E5" s="1" t="s">
        <v>16</v>
      </c>
      <c r="F5" s="1" t="s">
        <v>14</v>
      </c>
      <c r="G5" s="44">
        <v>90</v>
      </c>
      <c r="H5" s="43">
        <v>1360103.86</v>
      </c>
      <c r="I5" s="43">
        <f>SUMIFS('العملاء × المراكز'!$J$5:$J$43,'العملاء × المراكز'!$A$5:$A$43,'ملخص العملاء'!A5)</f>
        <v>619156</v>
      </c>
      <c r="J5" s="43">
        <f>H5-I5</f>
        <v>740947.8600000001</v>
      </c>
    </row>
    <row r="6" spans="1:10" ht="22.05" customHeight="1">
      <c r="A6" s="8" t="s">
        <v>35</v>
      </c>
      <c r="B6" s="7">
        <v>12</v>
      </c>
      <c r="C6" s="7">
        <v>18</v>
      </c>
      <c r="D6" s="7">
        <v>3</v>
      </c>
      <c r="E6" s="8" t="s">
        <v>16</v>
      </c>
      <c r="F6" s="8" t="s">
        <v>30</v>
      </c>
      <c r="G6" s="46">
        <v>18</v>
      </c>
      <c r="H6" s="40">
        <v>214487.69</v>
      </c>
      <c r="I6" s="43">
        <f>SUMIFS('العملاء × المراكز'!$J$5:$J$43,'العملاء × المراكز'!$A$5:$A$43,'ملخص العملاء'!A6)</f>
        <v>198465.5</v>
      </c>
      <c r="J6" s="43">
        <f t="shared" ref="J6:J8" si="0">H6-I6</f>
        <v>16022.190000000002</v>
      </c>
    </row>
    <row r="7" spans="1:10" ht="22.05" customHeight="1">
      <c r="A7" s="1" t="s">
        <v>46</v>
      </c>
      <c r="B7" s="4">
        <v>1</v>
      </c>
      <c r="C7" s="4">
        <v>11</v>
      </c>
      <c r="D7" s="4">
        <v>5</v>
      </c>
      <c r="E7" s="1" t="s">
        <v>16</v>
      </c>
      <c r="F7" s="1" t="s">
        <v>14</v>
      </c>
      <c r="G7" s="44">
        <v>43</v>
      </c>
      <c r="H7" s="44">
        <v>179045</v>
      </c>
      <c r="I7" s="43">
        <v>172680</v>
      </c>
      <c r="J7" s="43">
        <f t="shared" si="0"/>
        <v>6365</v>
      </c>
    </row>
    <row r="8" spans="1:10" ht="22.05" customHeight="1" thickBot="1">
      <c r="A8" s="8" t="s">
        <v>48</v>
      </c>
      <c r="B8" s="7">
        <v>8</v>
      </c>
      <c r="C8" s="7">
        <v>8</v>
      </c>
      <c r="D8" s="7">
        <v>1</v>
      </c>
      <c r="E8" s="8" t="s">
        <v>14</v>
      </c>
      <c r="F8" s="8" t="s">
        <v>14</v>
      </c>
      <c r="G8" s="46">
        <v>8</v>
      </c>
      <c r="H8" s="40">
        <v>88960.95</v>
      </c>
      <c r="I8" s="43">
        <f>SUMIFS('العملاء × المراكز'!$J$5:$J$43,'العملاء × المراكز'!$A$5:$A$43,'ملخص العملاء'!A8)</f>
        <v>189487</v>
      </c>
      <c r="J8" s="43">
        <f t="shared" si="0"/>
        <v>-100526.05</v>
      </c>
    </row>
    <row r="9" spans="1:10" ht="25.95" customHeight="1" thickBot="1">
      <c r="A9" s="11" t="s">
        <v>49</v>
      </c>
      <c r="B9" s="11">
        <v>39</v>
      </c>
      <c r="C9" s="11">
        <v>127</v>
      </c>
      <c r="D9" s="11"/>
      <c r="E9" s="11"/>
      <c r="F9" s="11"/>
      <c r="G9" s="47">
        <v>159</v>
      </c>
      <c r="H9" s="41">
        <v>1842597.5</v>
      </c>
      <c r="I9" s="41">
        <f>SUM(I5:I8)</f>
        <v>1179788.5</v>
      </c>
      <c r="J9" s="41">
        <f>SUM(J5:J8)</f>
        <v>662809</v>
      </c>
    </row>
  </sheetData>
  <autoFilter ref="A4:H9" xr:uid="{00000000-0009-0000-0000-000003000000}"/>
  <mergeCells count="2">
    <mergeCell ref="A2:H2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4"/>
  <sheetViews>
    <sheetView rightToLeft="1" topLeftCell="C30" workbookViewId="0">
      <selection activeCell="J44" sqref="J44"/>
    </sheetView>
  </sheetViews>
  <sheetFormatPr defaultRowHeight="14.4"/>
  <cols>
    <col min="1" max="1" width="34.77734375" customWidth="1"/>
    <col min="2" max="3" width="33.77734375" customWidth="1"/>
    <col min="4" max="4" width="16.77734375" customWidth="1"/>
    <col min="5" max="8" width="14.77734375" customWidth="1"/>
    <col min="9" max="9" width="22.77734375" customWidth="1"/>
    <col min="10" max="10" width="18" style="37" customWidth="1"/>
    <col min="11" max="11" width="12.33203125" bestFit="1" customWidth="1"/>
  </cols>
  <sheetData>
    <row r="1" spans="1:11" ht="36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1" ht="22.05" customHeight="1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3" spans="1:11" ht="7.95" customHeight="1"/>
    <row r="4" spans="1:11" ht="28.05" customHeight="1">
      <c r="A4" s="3" t="s">
        <v>2</v>
      </c>
      <c r="B4" s="3" t="s">
        <v>3</v>
      </c>
      <c r="C4" s="45" t="s">
        <v>279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8" t="s">
        <v>10</v>
      </c>
      <c r="K4" s="42" t="s">
        <v>278</v>
      </c>
    </row>
    <row r="5" spans="1:11" ht="22.05" customHeight="1">
      <c r="A5" s="1" t="s">
        <v>11</v>
      </c>
      <c r="B5" s="1" t="s">
        <v>12</v>
      </c>
      <c r="C5" s="13" t="s">
        <v>280</v>
      </c>
      <c r="D5" s="4">
        <v>4</v>
      </c>
      <c r="E5" s="4">
        <v>4</v>
      </c>
      <c r="F5" s="1" t="s">
        <v>13</v>
      </c>
      <c r="G5" s="1" t="s">
        <v>14</v>
      </c>
      <c r="H5" s="4">
        <v>4</v>
      </c>
      <c r="I5" s="4">
        <v>210335</v>
      </c>
      <c r="J5" s="39">
        <v>101449</v>
      </c>
      <c r="K5" s="39">
        <f>I5-J5</f>
        <v>108886</v>
      </c>
    </row>
    <row r="6" spans="1:11" ht="22.05" customHeight="1">
      <c r="A6" s="8" t="s">
        <v>11</v>
      </c>
      <c r="B6" s="8" t="s">
        <v>15</v>
      </c>
      <c r="C6" s="13" t="s">
        <v>281</v>
      </c>
      <c r="D6" s="7">
        <v>8</v>
      </c>
      <c r="E6" s="7">
        <v>5</v>
      </c>
      <c r="F6" s="8" t="s">
        <v>16</v>
      </c>
      <c r="G6" s="8" t="s">
        <v>14</v>
      </c>
      <c r="H6" s="7">
        <v>8</v>
      </c>
      <c r="I6" s="9">
        <v>195391.65</v>
      </c>
      <c r="J6" s="40">
        <v>90929</v>
      </c>
      <c r="K6" s="40">
        <f t="shared" ref="K6:K44" si="0">I6-J6</f>
        <v>104462.65</v>
      </c>
    </row>
    <row r="7" spans="1:11" ht="22.05" customHeight="1">
      <c r="A7" s="1" t="s">
        <v>11</v>
      </c>
      <c r="B7" s="1" t="s">
        <v>17</v>
      </c>
      <c r="C7" s="13" t="s">
        <v>281</v>
      </c>
      <c r="D7" s="4">
        <v>6</v>
      </c>
      <c r="E7" s="4">
        <v>5</v>
      </c>
      <c r="F7" s="1" t="s">
        <v>16</v>
      </c>
      <c r="G7" s="1" t="s">
        <v>14</v>
      </c>
      <c r="H7" s="4">
        <v>6</v>
      </c>
      <c r="I7" s="5">
        <v>153418.44</v>
      </c>
      <c r="J7" s="39">
        <v>55349</v>
      </c>
      <c r="K7" s="39">
        <f t="shared" si="0"/>
        <v>98069.440000000002</v>
      </c>
    </row>
    <row r="8" spans="1:11" ht="22.05" customHeight="1">
      <c r="A8" s="8" t="s">
        <v>11</v>
      </c>
      <c r="B8" s="8" t="s">
        <v>18</v>
      </c>
      <c r="C8" s="13" t="s">
        <v>280</v>
      </c>
      <c r="D8" s="7">
        <v>4</v>
      </c>
      <c r="E8" s="7">
        <v>4</v>
      </c>
      <c r="F8" s="8" t="s">
        <v>16</v>
      </c>
      <c r="G8" s="8" t="s">
        <v>14</v>
      </c>
      <c r="H8" s="7">
        <v>4</v>
      </c>
      <c r="I8" s="9">
        <v>133687.5</v>
      </c>
      <c r="J8" s="40">
        <v>79971</v>
      </c>
      <c r="K8" s="40">
        <f t="shared" si="0"/>
        <v>53716.5</v>
      </c>
    </row>
    <row r="9" spans="1:11" ht="22.05" customHeight="1">
      <c r="A9" s="1" t="s">
        <v>11</v>
      </c>
      <c r="B9" s="1" t="s">
        <v>19</v>
      </c>
      <c r="C9" s="13" t="s">
        <v>281</v>
      </c>
      <c r="D9" s="4">
        <v>2</v>
      </c>
      <c r="E9" s="4">
        <v>1</v>
      </c>
      <c r="F9" s="1" t="s">
        <v>20</v>
      </c>
      <c r="G9" s="1" t="s">
        <v>20</v>
      </c>
      <c r="H9" s="4">
        <v>2</v>
      </c>
      <c r="I9" s="4">
        <v>87840</v>
      </c>
      <c r="J9" s="39">
        <v>11291</v>
      </c>
      <c r="K9" s="39">
        <f t="shared" si="0"/>
        <v>76549</v>
      </c>
    </row>
    <row r="10" spans="1:11" ht="22.05" customHeight="1">
      <c r="A10" s="8" t="s">
        <v>11</v>
      </c>
      <c r="B10" s="8" t="s">
        <v>21</v>
      </c>
      <c r="C10" s="13" t="s">
        <v>282</v>
      </c>
      <c r="D10" s="7">
        <v>8</v>
      </c>
      <c r="E10" s="7">
        <v>5</v>
      </c>
      <c r="F10" s="8" t="s">
        <v>16</v>
      </c>
      <c r="G10" s="8" t="s">
        <v>14</v>
      </c>
      <c r="H10" s="7">
        <v>8</v>
      </c>
      <c r="I10" s="9">
        <v>83556.149999999994</v>
      </c>
      <c r="J10" s="40">
        <v>14206</v>
      </c>
      <c r="K10" s="40">
        <f t="shared" si="0"/>
        <v>69350.149999999994</v>
      </c>
    </row>
    <row r="11" spans="1:11" ht="22.05" customHeight="1">
      <c r="A11" s="1" t="s">
        <v>11</v>
      </c>
      <c r="B11" s="1" t="s">
        <v>22</v>
      </c>
      <c r="C11" s="13" t="s">
        <v>283</v>
      </c>
      <c r="D11" s="4">
        <v>5</v>
      </c>
      <c r="E11" s="4">
        <v>5</v>
      </c>
      <c r="F11" s="1" t="s">
        <v>16</v>
      </c>
      <c r="G11" s="1" t="s">
        <v>14</v>
      </c>
      <c r="H11" s="4">
        <v>5</v>
      </c>
      <c r="I11" s="5">
        <v>81152.5</v>
      </c>
      <c r="J11" s="39">
        <v>37267</v>
      </c>
      <c r="K11" s="39">
        <f t="shared" si="0"/>
        <v>43885.5</v>
      </c>
    </row>
    <row r="12" spans="1:11" ht="22.05" customHeight="1">
      <c r="A12" s="8" t="s">
        <v>11</v>
      </c>
      <c r="B12" s="8" t="s">
        <v>23</v>
      </c>
      <c r="C12" s="13" t="s">
        <v>282</v>
      </c>
      <c r="D12" s="7">
        <v>8</v>
      </c>
      <c r="E12" s="7">
        <v>5</v>
      </c>
      <c r="F12" s="8" t="s">
        <v>16</v>
      </c>
      <c r="G12" s="8" t="s">
        <v>14</v>
      </c>
      <c r="H12" s="7">
        <v>8</v>
      </c>
      <c r="I12" s="9">
        <v>76647.290000000008</v>
      </c>
      <c r="J12" s="40">
        <v>14914</v>
      </c>
      <c r="K12" s="40">
        <f t="shared" si="0"/>
        <v>61733.290000000008</v>
      </c>
    </row>
    <row r="13" spans="1:11" ht="22.05" customHeight="1">
      <c r="A13" s="1" t="s">
        <v>11</v>
      </c>
      <c r="B13" s="1" t="s">
        <v>24</v>
      </c>
      <c r="C13" s="13" t="s">
        <v>282</v>
      </c>
      <c r="D13" s="4">
        <v>8</v>
      </c>
      <c r="E13" s="4">
        <v>5</v>
      </c>
      <c r="F13" s="1" t="s">
        <v>16</v>
      </c>
      <c r="G13" s="1" t="s">
        <v>14</v>
      </c>
      <c r="H13" s="4">
        <v>8</v>
      </c>
      <c r="I13" s="5">
        <v>74311.97</v>
      </c>
      <c r="J13" s="39">
        <v>13111</v>
      </c>
      <c r="K13" s="39">
        <f t="shared" si="0"/>
        <v>61200.97</v>
      </c>
    </row>
    <row r="14" spans="1:11" ht="22.05" customHeight="1">
      <c r="A14" s="8" t="s">
        <v>11</v>
      </c>
      <c r="B14" s="8" t="s">
        <v>25</v>
      </c>
      <c r="C14" s="13" t="s">
        <v>282</v>
      </c>
      <c r="D14" s="7">
        <v>8</v>
      </c>
      <c r="E14" s="7">
        <v>5</v>
      </c>
      <c r="F14" s="8" t="s">
        <v>16</v>
      </c>
      <c r="G14" s="8" t="s">
        <v>14</v>
      </c>
      <c r="H14" s="7">
        <v>8</v>
      </c>
      <c r="I14" s="9">
        <v>64593.079999999987</v>
      </c>
      <c r="J14" s="40">
        <v>10503</v>
      </c>
      <c r="K14" s="40">
        <f t="shared" si="0"/>
        <v>54090.079999999987</v>
      </c>
    </row>
    <row r="15" spans="1:11" ht="22.05" customHeight="1">
      <c r="A15" s="1" t="s">
        <v>11</v>
      </c>
      <c r="B15" s="1" t="s">
        <v>26</v>
      </c>
      <c r="C15" s="13" t="s">
        <v>282</v>
      </c>
      <c r="D15" s="4">
        <v>6</v>
      </c>
      <c r="E15" s="4">
        <v>4</v>
      </c>
      <c r="F15" s="1" t="s">
        <v>13</v>
      </c>
      <c r="G15" s="1" t="s">
        <v>14</v>
      </c>
      <c r="H15" s="4">
        <v>6</v>
      </c>
      <c r="I15" s="5">
        <v>53332.33</v>
      </c>
      <c r="J15" s="39">
        <v>27775</v>
      </c>
      <c r="K15" s="39">
        <f t="shared" si="0"/>
        <v>25557.33</v>
      </c>
    </row>
    <row r="16" spans="1:11" ht="22.05" customHeight="1">
      <c r="A16" s="8" t="s">
        <v>11</v>
      </c>
      <c r="B16" s="8" t="s">
        <v>27</v>
      </c>
      <c r="C16" s="13" t="s">
        <v>282</v>
      </c>
      <c r="D16" s="7">
        <v>8</v>
      </c>
      <c r="E16" s="7">
        <v>5</v>
      </c>
      <c r="F16" s="8" t="s">
        <v>16</v>
      </c>
      <c r="G16" s="8" t="s">
        <v>14</v>
      </c>
      <c r="H16" s="7">
        <v>8</v>
      </c>
      <c r="I16" s="9">
        <v>48377.67</v>
      </c>
      <c r="J16" s="40">
        <v>10198</v>
      </c>
      <c r="K16" s="40">
        <f t="shared" si="0"/>
        <v>38179.67</v>
      </c>
    </row>
    <row r="17" spans="1:11" ht="22.05" customHeight="1">
      <c r="A17" s="1" t="s">
        <v>11</v>
      </c>
      <c r="B17" s="1" t="s">
        <v>28</v>
      </c>
      <c r="C17" s="13" t="s">
        <v>282</v>
      </c>
      <c r="D17" s="4">
        <v>8</v>
      </c>
      <c r="E17" s="4">
        <v>5</v>
      </c>
      <c r="F17" s="1" t="s">
        <v>16</v>
      </c>
      <c r="G17" s="1" t="s">
        <v>14</v>
      </c>
      <c r="H17" s="4">
        <v>8</v>
      </c>
      <c r="I17" s="5">
        <v>45190.9</v>
      </c>
      <c r="J17" s="39">
        <v>7851</v>
      </c>
      <c r="K17" s="39">
        <f t="shared" si="0"/>
        <v>37339.9</v>
      </c>
    </row>
    <row r="18" spans="1:11" ht="22.05" customHeight="1">
      <c r="A18" s="8" t="s">
        <v>11</v>
      </c>
      <c r="B18" s="8" t="s">
        <v>29</v>
      </c>
      <c r="C18" s="13" t="s">
        <v>284</v>
      </c>
      <c r="D18" s="7">
        <v>2</v>
      </c>
      <c r="E18" s="7">
        <v>2</v>
      </c>
      <c r="F18" s="8" t="s">
        <v>30</v>
      </c>
      <c r="G18" s="8" t="s">
        <v>20</v>
      </c>
      <c r="H18" s="7">
        <v>2</v>
      </c>
      <c r="I18" s="7">
        <v>19950</v>
      </c>
      <c r="J18" s="40">
        <f>I18</f>
        <v>19950</v>
      </c>
      <c r="K18" s="40">
        <f t="shared" si="0"/>
        <v>0</v>
      </c>
    </row>
    <row r="19" spans="1:11" ht="22.05" customHeight="1">
      <c r="A19" s="1" t="s">
        <v>11</v>
      </c>
      <c r="B19" s="1" t="s">
        <v>31</v>
      </c>
      <c r="C19" s="13" t="s">
        <v>282</v>
      </c>
      <c r="D19" s="4">
        <v>1</v>
      </c>
      <c r="E19" s="4">
        <v>1</v>
      </c>
      <c r="F19" s="1" t="s">
        <v>14</v>
      </c>
      <c r="G19" s="1" t="s">
        <v>14</v>
      </c>
      <c r="H19" s="4">
        <v>1</v>
      </c>
      <c r="I19" s="4">
        <v>17458</v>
      </c>
      <c r="J19" s="39">
        <v>23712</v>
      </c>
      <c r="K19" s="39">
        <f t="shared" si="0"/>
        <v>-6254</v>
      </c>
    </row>
    <row r="20" spans="1:11" ht="22.05" customHeight="1">
      <c r="A20" s="8" t="s">
        <v>11</v>
      </c>
      <c r="B20" s="8" t="s">
        <v>32</v>
      </c>
      <c r="C20" s="13" t="s">
        <v>283</v>
      </c>
      <c r="D20" s="7">
        <v>1</v>
      </c>
      <c r="E20" s="7">
        <v>1</v>
      </c>
      <c r="F20" s="8" t="s">
        <v>14</v>
      </c>
      <c r="G20" s="8" t="s">
        <v>14</v>
      </c>
      <c r="H20" s="7">
        <v>1</v>
      </c>
      <c r="I20" s="7">
        <v>9080</v>
      </c>
      <c r="J20" s="40">
        <v>46275</v>
      </c>
      <c r="K20" s="40">
        <f t="shared" si="0"/>
        <v>-37195</v>
      </c>
    </row>
    <row r="21" spans="1:11" ht="22.05" customHeight="1">
      <c r="A21" s="1" t="s">
        <v>11</v>
      </c>
      <c r="B21" s="1" t="s">
        <v>33</v>
      </c>
      <c r="C21" s="13" t="s">
        <v>283</v>
      </c>
      <c r="D21" s="4">
        <v>1</v>
      </c>
      <c r="E21" s="4">
        <v>1</v>
      </c>
      <c r="F21" s="1" t="s">
        <v>14</v>
      </c>
      <c r="G21" s="1" t="s">
        <v>14</v>
      </c>
      <c r="H21" s="4">
        <v>1</v>
      </c>
      <c r="I21" s="5">
        <v>3972.5</v>
      </c>
      <c r="J21" s="39">
        <v>39439</v>
      </c>
      <c r="K21" s="39">
        <f t="shared" si="0"/>
        <v>-35466.5</v>
      </c>
    </row>
    <row r="22" spans="1:11" ht="22.05" customHeight="1">
      <c r="A22" s="8" t="s">
        <v>11</v>
      </c>
      <c r="B22" s="8" t="s">
        <v>34</v>
      </c>
      <c r="C22" s="13" t="s">
        <v>282</v>
      </c>
      <c r="D22" s="7">
        <v>2</v>
      </c>
      <c r="E22" s="7">
        <v>1</v>
      </c>
      <c r="F22" s="8" t="s">
        <v>13</v>
      </c>
      <c r="G22" s="8" t="s">
        <v>13</v>
      </c>
      <c r="H22" s="7">
        <v>2</v>
      </c>
      <c r="I22" s="9">
        <v>1808.88</v>
      </c>
      <c r="J22" s="40">
        <v>14966</v>
      </c>
      <c r="K22" s="40">
        <f t="shared" si="0"/>
        <v>-13157.119999999999</v>
      </c>
    </row>
    <row r="23" spans="1:11" ht="22.05" customHeight="1">
      <c r="A23" s="1" t="s">
        <v>35</v>
      </c>
      <c r="B23" s="1" t="s">
        <v>36</v>
      </c>
      <c r="C23" s="13" t="s">
        <v>280</v>
      </c>
      <c r="D23" s="4">
        <v>3</v>
      </c>
      <c r="E23" s="4">
        <v>3</v>
      </c>
      <c r="F23" s="1" t="s">
        <v>16</v>
      </c>
      <c r="G23" s="1" t="s">
        <v>30</v>
      </c>
      <c r="H23" s="4">
        <v>3</v>
      </c>
      <c r="I23" s="5">
        <v>90907.5</v>
      </c>
      <c r="J23" s="39">
        <v>60779</v>
      </c>
      <c r="K23" s="39">
        <f t="shared" si="0"/>
        <v>30128.5</v>
      </c>
    </row>
    <row r="24" spans="1:11" ht="22.05" customHeight="1">
      <c r="A24" s="8" t="s">
        <v>35</v>
      </c>
      <c r="B24" s="8" t="s">
        <v>37</v>
      </c>
      <c r="C24" s="13" t="s">
        <v>283</v>
      </c>
      <c r="D24" s="7">
        <v>3</v>
      </c>
      <c r="E24" s="7">
        <v>3</v>
      </c>
      <c r="F24" s="8" t="s">
        <v>16</v>
      </c>
      <c r="G24" s="8" t="s">
        <v>30</v>
      </c>
      <c r="H24" s="7">
        <v>3</v>
      </c>
      <c r="I24" s="9">
        <v>33482.5</v>
      </c>
      <c r="J24" s="40">
        <v>22310</v>
      </c>
      <c r="K24" s="40">
        <f t="shared" si="0"/>
        <v>11172.5</v>
      </c>
    </row>
    <row r="25" spans="1:11" ht="22.05" customHeight="1">
      <c r="A25" s="1" t="s">
        <v>35</v>
      </c>
      <c r="B25" s="1" t="s">
        <v>38</v>
      </c>
      <c r="C25" s="13" t="s">
        <v>283</v>
      </c>
      <c r="D25" s="4">
        <v>3</v>
      </c>
      <c r="E25" s="4">
        <v>3</v>
      </c>
      <c r="F25" s="1" t="s">
        <v>16</v>
      </c>
      <c r="G25" s="1" t="s">
        <v>30</v>
      </c>
      <c r="H25" s="4">
        <v>3</v>
      </c>
      <c r="I25" s="4">
        <v>28375</v>
      </c>
      <c r="J25" s="39">
        <v>20655</v>
      </c>
      <c r="K25" s="39">
        <f t="shared" si="0"/>
        <v>7720</v>
      </c>
    </row>
    <row r="26" spans="1:11" ht="22.05" customHeight="1">
      <c r="A26" s="8" t="s">
        <v>35</v>
      </c>
      <c r="B26" s="8" t="s">
        <v>39</v>
      </c>
      <c r="C26" s="13" t="s">
        <v>284</v>
      </c>
      <c r="D26" s="7">
        <v>1</v>
      </c>
      <c r="E26" s="7">
        <v>1</v>
      </c>
      <c r="F26" s="8" t="s">
        <v>16</v>
      </c>
      <c r="G26" s="8" t="s">
        <v>16</v>
      </c>
      <c r="H26" s="7">
        <v>1</v>
      </c>
      <c r="I26" s="7">
        <v>25587</v>
      </c>
      <c r="J26" s="40">
        <f>I26</f>
        <v>25587</v>
      </c>
      <c r="K26" s="40">
        <f t="shared" si="0"/>
        <v>0</v>
      </c>
    </row>
    <row r="27" spans="1:11" ht="22.05" customHeight="1">
      <c r="A27" s="1" t="s">
        <v>35</v>
      </c>
      <c r="B27" s="1" t="s">
        <v>40</v>
      </c>
      <c r="C27" s="13" t="s">
        <v>283</v>
      </c>
      <c r="D27" s="4">
        <v>1</v>
      </c>
      <c r="E27" s="4">
        <v>1</v>
      </c>
      <c r="F27" s="1" t="s">
        <v>30</v>
      </c>
      <c r="G27" s="1" t="s">
        <v>30</v>
      </c>
      <c r="H27" s="4">
        <v>1</v>
      </c>
      <c r="I27" s="5">
        <v>6807.5</v>
      </c>
      <c r="J27" s="39">
        <v>7159</v>
      </c>
      <c r="K27" s="39">
        <f t="shared" si="0"/>
        <v>-351.5</v>
      </c>
    </row>
    <row r="28" spans="1:11" ht="22.05" customHeight="1">
      <c r="A28" s="8" t="s">
        <v>35</v>
      </c>
      <c r="B28" s="8" t="s">
        <v>41</v>
      </c>
      <c r="C28" s="13" t="s">
        <v>284</v>
      </c>
      <c r="D28" s="7">
        <v>1</v>
      </c>
      <c r="E28" s="7">
        <v>1</v>
      </c>
      <c r="F28" s="8" t="s">
        <v>16</v>
      </c>
      <c r="G28" s="8" t="s">
        <v>16</v>
      </c>
      <c r="H28" s="7">
        <v>1</v>
      </c>
      <c r="I28" s="7">
        <v>6525</v>
      </c>
      <c r="J28" s="40">
        <f t="shared" ref="J28:J30" si="1">I28</f>
        <v>6525</v>
      </c>
      <c r="K28" s="40">
        <f t="shared" si="0"/>
        <v>0</v>
      </c>
    </row>
    <row r="29" spans="1:11" ht="22.05" customHeight="1">
      <c r="A29" s="1" t="s">
        <v>35</v>
      </c>
      <c r="B29" s="1" t="s">
        <v>42</v>
      </c>
      <c r="C29" s="13" t="s">
        <v>284</v>
      </c>
      <c r="D29" s="4">
        <v>1</v>
      </c>
      <c r="E29" s="4">
        <v>1</v>
      </c>
      <c r="F29" s="1" t="s">
        <v>16</v>
      </c>
      <c r="G29" s="1" t="s">
        <v>16</v>
      </c>
      <c r="H29" s="4">
        <v>1</v>
      </c>
      <c r="I29" s="4">
        <v>6090</v>
      </c>
      <c r="J29" s="40">
        <f t="shared" si="1"/>
        <v>6090</v>
      </c>
      <c r="K29" s="39">
        <f t="shared" si="0"/>
        <v>0</v>
      </c>
    </row>
    <row r="30" spans="1:11" ht="22.05" customHeight="1">
      <c r="A30" s="8" t="s">
        <v>35</v>
      </c>
      <c r="B30" s="8" t="s">
        <v>43</v>
      </c>
      <c r="C30" s="13" t="s">
        <v>284</v>
      </c>
      <c r="D30" s="7">
        <v>1</v>
      </c>
      <c r="E30" s="7">
        <v>1</v>
      </c>
      <c r="F30" s="8" t="s">
        <v>16</v>
      </c>
      <c r="G30" s="8" t="s">
        <v>16</v>
      </c>
      <c r="H30" s="7">
        <v>1</v>
      </c>
      <c r="I30" s="7">
        <v>4300</v>
      </c>
      <c r="J30" s="40">
        <f t="shared" si="1"/>
        <v>4300</v>
      </c>
      <c r="K30" s="40">
        <f t="shared" si="0"/>
        <v>0</v>
      </c>
    </row>
    <row r="31" spans="1:11" ht="22.05" customHeight="1">
      <c r="A31" s="1" t="s">
        <v>35</v>
      </c>
      <c r="B31" s="1" t="s">
        <v>34</v>
      </c>
      <c r="C31" s="13" t="s">
        <v>282</v>
      </c>
      <c r="D31" s="4">
        <v>1</v>
      </c>
      <c r="E31" s="4">
        <v>1</v>
      </c>
      <c r="F31" s="1" t="s">
        <v>16</v>
      </c>
      <c r="G31" s="1" t="s">
        <v>16</v>
      </c>
      <c r="H31" s="4">
        <v>1</v>
      </c>
      <c r="I31" s="5">
        <v>3304.69</v>
      </c>
      <c r="J31" s="39">
        <v>14966</v>
      </c>
      <c r="K31" s="39">
        <f t="shared" si="0"/>
        <v>-11661.31</v>
      </c>
    </row>
    <row r="32" spans="1:11" ht="22.05" customHeight="1">
      <c r="A32" s="8" t="s">
        <v>35</v>
      </c>
      <c r="B32" s="8" t="s">
        <v>44</v>
      </c>
      <c r="C32" s="13" t="s">
        <v>284</v>
      </c>
      <c r="D32" s="7">
        <v>1</v>
      </c>
      <c r="E32" s="7">
        <v>1</v>
      </c>
      <c r="F32" s="8" t="s">
        <v>16</v>
      </c>
      <c r="G32" s="8" t="s">
        <v>16</v>
      </c>
      <c r="H32" s="7">
        <v>1</v>
      </c>
      <c r="I32" s="9">
        <v>3262.5</v>
      </c>
      <c r="J32" s="40">
        <f t="shared" ref="J32:J33" si="2">I32</f>
        <v>3262.5</v>
      </c>
      <c r="K32" s="40">
        <f t="shared" si="0"/>
        <v>0</v>
      </c>
    </row>
    <row r="33" spans="1:11" ht="22.05" customHeight="1">
      <c r="A33" s="1" t="s">
        <v>35</v>
      </c>
      <c r="B33" s="1" t="s">
        <v>45</v>
      </c>
      <c r="C33" s="13" t="s">
        <v>284</v>
      </c>
      <c r="D33" s="4">
        <v>1</v>
      </c>
      <c r="E33" s="4">
        <v>1</v>
      </c>
      <c r="F33" s="1" t="s">
        <v>16</v>
      </c>
      <c r="G33" s="1" t="s">
        <v>16</v>
      </c>
      <c r="H33" s="4">
        <v>1</v>
      </c>
      <c r="I33" s="4">
        <v>3120</v>
      </c>
      <c r="J33" s="40">
        <f t="shared" si="2"/>
        <v>3120</v>
      </c>
      <c r="K33" s="39">
        <f t="shared" si="0"/>
        <v>0</v>
      </c>
    </row>
    <row r="34" spans="1:11" ht="22.05" customHeight="1">
      <c r="A34" s="8" t="s">
        <v>35</v>
      </c>
      <c r="B34" s="8" t="s">
        <v>31</v>
      </c>
      <c r="C34" s="13" t="s">
        <v>282</v>
      </c>
      <c r="D34" s="7">
        <v>1</v>
      </c>
      <c r="E34" s="7">
        <v>1</v>
      </c>
      <c r="F34" s="8" t="s">
        <v>16</v>
      </c>
      <c r="G34" s="8" t="s">
        <v>16</v>
      </c>
      <c r="H34" s="7">
        <v>1</v>
      </c>
      <c r="I34" s="7">
        <v>2726</v>
      </c>
      <c r="J34" s="40">
        <v>23712</v>
      </c>
      <c r="K34" s="40">
        <f t="shared" si="0"/>
        <v>-20986</v>
      </c>
    </row>
    <row r="35" spans="1:11" ht="22.05" customHeight="1">
      <c r="A35" s="1" t="s">
        <v>46</v>
      </c>
      <c r="B35" s="1" t="s">
        <v>47</v>
      </c>
      <c r="C35" s="13" t="s">
        <v>47</v>
      </c>
      <c r="D35" s="4">
        <v>11</v>
      </c>
      <c r="E35" s="4">
        <v>5</v>
      </c>
      <c r="F35" s="1" t="s">
        <v>16</v>
      </c>
      <c r="G35" s="1" t="s">
        <v>14</v>
      </c>
      <c r="H35" s="4">
        <v>43</v>
      </c>
      <c r="I35" s="4">
        <v>179045</v>
      </c>
      <c r="J35" s="39">
        <v>23010</v>
      </c>
      <c r="K35" s="39">
        <f t="shared" si="0"/>
        <v>156035</v>
      </c>
    </row>
    <row r="36" spans="1:11" ht="22.05" customHeight="1">
      <c r="A36" s="8" t="s">
        <v>48</v>
      </c>
      <c r="B36" s="8" t="s">
        <v>15</v>
      </c>
      <c r="C36" s="13" t="s">
        <v>281</v>
      </c>
      <c r="D36" s="7">
        <v>1</v>
      </c>
      <c r="E36" s="7">
        <v>1</v>
      </c>
      <c r="F36" s="8" t="s">
        <v>14</v>
      </c>
      <c r="G36" s="8" t="s">
        <v>14</v>
      </c>
      <c r="H36" s="7">
        <v>1</v>
      </c>
      <c r="I36" s="9">
        <v>26447.85</v>
      </c>
      <c r="J36" s="40">
        <v>90929</v>
      </c>
      <c r="K36" s="40">
        <f t="shared" si="0"/>
        <v>-64481.15</v>
      </c>
    </row>
    <row r="37" spans="1:11" ht="22.05" customHeight="1">
      <c r="A37" s="1" t="s">
        <v>48</v>
      </c>
      <c r="B37" s="1" t="s">
        <v>21</v>
      </c>
      <c r="C37" s="13" t="s">
        <v>282</v>
      </c>
      <c r="D37" s="4">
        <v>1</v>
      </c>
      <c r="E37" s="4">
        <v>1</v>
      </c>
      <c r="F37" s="1" t="s">
        <v>14</v>
      </c>
      <c r="G37" s="1" t="s">
        <v>14</v>
      </c>
      <c r="H37" s="4">
        <v>1</v>
      </c>
      <c r="I37" s="5">
        <v>11095.5</v>
      </c>
      <c r="J37" s="39">
        <v>14206</v>
      </c>
      <c r="K37" s="39">
        <f t="shared" si="0"/>
        <v>-3110.5</v>
      </c>
    </row>
    <row r="38" spans="1:11" ht="22.05" customHeight="1">
      <c r="A38" s="8" t="s">
        <v>48</v>
      </c>
      <c r="B38" s="8" t="s">
        <v>26</v>
      </c>
      <c r="C38" s="13" t="s">
        <v>282</v>
      </c>
      <c r="D38" s="7">
        <v>1</v>
      </c>
      <c r="E38" s="7">
        <v>1</v>
      </c>
      <c r="F38" s="8" t="s">
        <v>14</v>
      </c>
      <c r="G38" s="8" t="s">
        <v>14</v>
      </c>
      <c r="H38" s="7">
        <v>1</v>
      </c>
      <c r="I38" s="9">
        <v>10667.54</v>
      </c>
      <c r="J38" s="40">
        <v>27775</v>
      </c>
      <c r="K38" s="40">
        <f t="shared" si="0"/>
        <v>-17107.46</v>
      </c>
    </row>
    <row r="39" spans="1:11" ht="22.05" customHeight="1">
      <c r="A39" s="1" t="s">
        <v>48</v>
      </c>
      <c r="B39" s="1" t="s">
        <v>27</v>
      </c>
      <c r="C39" s="13" t="s">
        <v>282</v>
      </c>
      <c r="D39" s="4">
        <v>1</v>
      </c>
      <c r="E39" s="4">
        <v>1</v>
      </c>
      <c r="F39" s="1" t="s">
        <v>14</v>
      </c>
      <c r="G39" s="1" t="s">
        <v>14</v>
      </c>
      <c r="H39" s="4">
        <v>1</v>
      </c>
      <c r="I39" s="5">
        <v>9913.5400000000009</v>
      </c>
      <c r="J39" s="39">
        <v>10198</v>
      </c>
      <c r="K39" s="39">
        <f t="shared" si="0"/>
        <v>-284.45999999999913</v>
      </c>
    </row>
    <row r="40" spans="1:11" ht="22.05" customHeight="1">
      <c r="A40" s="8" t="s">
        <v>48</v>
      </c>
      <c r="B40" s="8" t="s">
        <v>23</v>
      </c>
      <c r="C40" s="13" t="s">
        <v>282</v>
      </c>
      <c r="D40" s="7">
        <v>1</v>
      </c>
      <c r="E40" s="7">
        <v>1</v>
      </c>
      <c r="F40" s="8" t="s">
        <v>14</v>
      </c>
      <c r="G40" s="8" t="s">
        <v>14</v>
      </c>
      <c r="H40" s="7">
        <v>1</v>
      </c>
      <c r="I40" s="9">
        <v>9884.68</v>
      </c>
      <c r="J40" s="40">
        <v>14914</v>
      </c>
      <c r="K40" s="40">
        <f t="shared" si="0"/>
        <v>-5029.32</v>
      </c>
    </row>
    <row r="41" spans="1:11" ht="22.05" customHeight="1">
      <c r="A41" s="1" t="s">
        <v>48</v>
      </c>
      <c r="B41" s="1" t="s">
        <v>24</v>
      </c>
      <c r="C41" s="13" t="s">
        <v>282</v>
      </c>
      <c r="D41" s="4">
        <v>1</v>
      </c>
      <c r="E41" s="4">
        <v>1</v>
      </c>
      <c r="F41" s="1" t="s">
        <v>14</v>
      </c>
      <c r="G41" s="1" t="s">
        <v>14</v>
      </c>
      <c r="H41" s="4">
        <v>1</v>
      </c>
      <c r="I41" s="5">
        <v>9816.0400000000009</v>
      </c>
      <c r="J41" s="39">
        <v>13111</v>
      </c>
      <c r="K41" s="39">
        <f t="shared" si="0"/>
        <v>-3294.9599999999991</v>
      </c>
    </row>
    <row r="42" spans="1:11" ht="22.05" customHeight="1">
      <c r="A42" s="8" t="s">
        <v>48</v>
      </c>
      <c r="B42" s="8" t="s">
        <v>28</v>
      </c>
      <c r="C42" s="13" t="s">
        <v>282</v>
      </c>
      <c r="D42" s="7">
        <v>1</v>
      </c>
      <c r="E42" s="7">
        <v>1</v>
      </c>
      <c r="F42" s="8" t="s">
        <v>14</v>
      </c>
      <c r="G42" s="8" t="s">
        <v>14</v>
      </c>
      <c r="H42" s="7">
        <v>1</v>
      </c>
      <c r="I42" s="9">
        <v>9130.94</v>
      </c>
      <c r="J42" s="40">
        <v>7851</v>
      </c>
      <c r="K42" s="40">
        <f t="shared" si="0"/>
        <v>1279.9400000000005</v>
      </c>
    </row>
    <row r="43" spans="1:11" ht="22.05" customHeight="1" thickBot="1">
      <c r="A43" s="1" t="s">
        <v>48</v>
      </c>
      <c r="B43" s="1" t="s">
        <v>25</v>
      </c>
      <c r="C43" s="13" t="s">
        <v>282</v>
      </c>
      <c r="D43" s="4">
        <v>1</v>
      </c>
      <c r="E43" s="4">
        <v>1</v>
      </c>
      <c r="F43" s="1" t="s">
        <v>14</v>
      </c>
      <c r="G43" s="1" t="s">
        <v>14</v>
      </c>
      <c r="H43" s="4">
        <v>1</v>
      </c>
      <c r="I43" s="5">
        <v>2004.86</v>
      </c>
      <c r="J43" s="39">
        <v>10503</v>
      </c>
      <c r="K43" s="39">
        <f t="shared" si="0"/>
        <v>-8498.14</v>
      </c>
    </row>
    <row r="44" spans="1:11" ht="25.95" customHeight="1" thickBot="1">
      <c r="A44" s="12" t="s">
        <v>49</v>
      </c>
      <c r="B44" s="12"/>
      <c r="C44" s="12"/>
      <c r="D44" s="11">
        <v>127</v>
      </c>
      <c r="E44" s="11"/>
      <c r="F44" s="11"/>
      <c r="G44" s="11"/>
      <c r="H44" s="11">
        <v>159</v>
      </c>
      <c r="I44" s="12">
        <v>1842597.5</v>
      </c>
      <c r="J44" s="41">
        <f>SUM(J5:J43)</f>
        <v>1030118.5</v>
      </c>
      <c r="K44" s="41">
        <f t="shared" si="0"/>
        <v>812479</v>
      </c>
    </row>
  </sheetData>
  <autoFilter ref="A4:J44" xr:uid="{00000000-0009-0000-0000-000004000000}"/>
  <mergeCells count="2">
    <mergeCell ref="A1:J1"/>
    <mergeCell ref="A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4"/>
  <sheetViews>
    <sheetView rightToLeft="1" workbookViewId="0"/>
  </sheetViews>
  <sheetFormatPr defaultRowHeight="14.4"/>
  <cols>
    <col min="1" max="1" width="34.77734375" customWidth="1"/>
    <col min="2" max="2" width="33.77734375" customWidth="1"/>
    <col min="3" max="3" width="16.77734375" customWidth="1"/>
    <col min="4" max="4" width="38.77734375" customWidth="1"/>
    <col min="5" max="6" width="14.77734375" customWidth="1"/>
  </cols>
  <sheetData>
    <row r="1" spans="1:6" ht="36" customHeight="1">
      <c r="A1" s="14" t="s">
        <v>170</v>
      </c>
      <c r="B1" s="15"/>
      <c r="C1" s="15"/>
      <c r="D1" s="15"/>
      <c r="E1" s="15"/>
      <c r="F1" s="28"/>
    </row>
    <row r="2" spans="1:6" ht="22.05" customHeight="1">
      <c r="A2" s="16" t="s">
        <v>171</v>
      </c>
      <c r="B2" s="17"/>
      <c r="C2" s="17"/>
      <c r="D2" s="17"/>
      <c r="E2" s="17"/>
      <c r="F2" s="17"/>
    </row>
    <row r="3" spans="1:6" ht="7.95" customHeight="1"/>
    <row r="4" spans="1:6" ht="28.05" customHeight="1">
      <c r="A4" s="3" t="s">
        <v>2</v>
      </c>
      <c r="B4" s="3" t="s">
        <v>3</v>
      </c>
      <c r="C4" s="3" t="s">
        <v>172</v>
      </c>
      <c r="D4" s="3" t="s">
        <v>69</v>
      </c>
      <c r="E4" s="3" t="s">
        <v>8</v>
      </c>
      <c r="F4" s="3" t="s">
        <v>9</v>
      </c>
    </row>
    <row r="5" spans="1:6" ht="22.05" customHeight="1">
      <c r="A5" s="1" t="s">
        <v>11</v>
      </c>
      <c r="B5" s="1" t="s">
        <v>12</v>
      </c>
      <c r="C5" s="1" t="s">
        <v>173</v>
      </c>
      <c r="D5" s="1" t="s">
        <v>75</v>
      </c>
      <c r="E5" s="4">
        <v>1</v>
      </c>
      <c r="F5" s="4">
        <v>24955</v>
      </c>
    </row>
    <row r="6" spans="1:6" ht="22.05" customHeight="1">
      <c r="A6" s="8" t="s">
        <v>11</v>
      </c>
      <c r="B6" s="8" t="s">
        <v>12</v>
      </c>
      <c r="C6" s="8" t="s">
        <v>174</v>
      </c>
      <c r="D6" s="8" t="s">
        <v>75</v>
      </c>
      <c r="E6" s="7">
        <v>1</v>
      </c>
      <c r="F6" s="7">
        <v>64170</v>
      </c>
    </row>
    <row r="7" spans="1:6" ht="22.05" customHeight="1">
      <c r="A7" s="1" t="s">
        <v>11</v>
      </c>
      <c r="B7" s="1" t="s">
        <v>12</v>
      </c>
      <c r="C7" s="1" t="s">
        <v>175</v>
      </c>
      <c r="D7" s="1" t="s">
        <v>75</v>
      </c>
      <c r="E7" s="4">
        <v>1</v>
      </c>
      <c r="F7" s="4">
        <v>60605</v>
      </c>
    </row>
    <row r="8" spans="1:6" ht="22.05" customHeight="1">
      <c r="A8" s="8" t="s">
        <v>11</v>
      </c>
      <c r="B8" s="8" t="s">
        <v>12</v>
      </c>
      <c r="C8" s="8" t="s">
        <v>176</v>
      </c>
      <c r="D8" s="8" t="s">
        <v>75</v>
      </c>
      <c r="E8" s="7">
        <v>1</v>
      </c>
      <c r="F8" s="7">
        <v>60605</v>
      </c>
    </row>
    <row r="9" spans="1:6" ht="22.05" customHeight="1">
      <c r="A9" s="1" t="s">
        <v>11</v>
      </c>
      <c r="B9" s="1" t="s">
        <v>15</v>
      </c>
      <c r="C9" s="1" t="s">
        <v>177</v>
      </c>
      <c r="D9" s="1" t="s">
        <v>71</v>
      </c>
      <c r="E9" s="4">
        <v>1</v>
      </c>
      <c r="F9" s="5">
        <v>29979.69</v>
      </c>
    </row>
    <row r="10" spans="1:6" ht="22.05" customHeight="1">
      <c r="A10" s="8" t="s">
        <v>11</v>
      </c>
      <c r="B10" s="8" t="s">
        <v>15</v>
      </c>
      <c r="C10" s="8" t="s">
        <v>178</v>
      </c>
      <c r="D10" s="8" t="s">
        <v>71</v>
      </c>
      <c r="E10" s="7">
        <v>1</v>
      </c>
      <c r="F10" s="9">
        <v>14730.63</v>
      </c>
    </row>
    <row r="11" spans="1:6" ht="22.05" customHeight="1">
      <c r="A11" s="1" t="s">
        <v>11</v>
      </c>
      <c r="B11" s="1" t="s">
        <v>15</v>
      </c>
      <c r="C11" s="1" t="s">
        <v>179</v>
      </c>
      <c r="D11" s="1" t="s">
        <v>73</v>
      </c>
      <c r="E11" s="4">
        <v>1</v>
      </c>
      <c r="F11" s="5">
        <v>30296.639999999999</v>
      </c>
    </row>
    <row r="12" spans="1:6" ht="22.05" customHeight="1">
      <c r="A12" s="8" t="s">
        <v>11</v>
      </c>
      <c r="B12" s="8" t="s">
        <v>15</v>
      </c>
      <c r="C12" s="8" t="s">
        <v>180</v>
      </c>
      <c r="D12" s="8" t="s">
        <v>71</v>
      </c>
      <c r="E12" s="7">
        <v>1</v>
      </c>
      <c r="F12" s="9">
        <v>14916.56</v>
      </c>
    </row>
    <row r="13" spans="1:6" ht="22.05" customHeight="1">
      <c r="A13" s="1" t="s">
        <v>11</v>
      </c>
      <c r="B13" s="1" t="s">
        <v>15</v>
      </c>
      <c r="C13" s="1" t="s">
        <v>181</v>
      </c>
      <c r="D13" s="1" t="s">
        <v>73</v>
      </c>
      <c r="E13" s="4">
        <v>1</v>
      </c>
      <c r="F13" s="5">
        <v>31489.37</v>
      </c>
    </row>
    <row r="14" spans="1:6" ht="22.05" customHeight="1">
      <c r="A14" s="8" t="s">
        <v>11</v>
      </c>
      <c r="B14" s="8" t="s">
        <v>15</v>
      </c>
      <c r="C14" s="8" t="s">
        <v>182</v>
      </c>
      <c r="D14" s="8" t="s">
        <v>71</v>
      </c>
      <c r="E14" s="7">
        <v>1</v>
      </c>
      <c r="F14" s="9">
        <v>25539.06</v>
      </c>
    </row>
    <row r="15" spans="1:6" ht="22.05" customHeight="1">
      <c r="A15" s="1" t="s">
        <v>11</v>
      </c>
      <c r="B15" s="1" t="s">
        <v>15</v>
      </c>
      <c r="C15" s="1" t="s">
        <v>183</v>
      </c>
      <c r="D15" s="1" t="s">
        <v>73</v>
      </c>
      <c r="E15" s="4">
        <v>1</v>
      </c>
      <c r="F15" s="5">
        <v>19774.7</v>
      </c>
    </row>
    <row r="16" spans="1:6" ht="22.05" customHeight="1">
      <c r="A16" s="8" t="s">
        <v>11</v>
      </c>
      <c r="B16" s="8" t="s">
        <v>15</v>
      </c>
      <c r="C16" s="8" t="s">
        <v>184</v>
      </c>
      <c r="D16" s="8" t="s">
        <v>71</v>
      </c>
      <c r="E16" s="7">
        <v>1</v>
      </c>
      <c r="F16" s="7">
        <v>28665</v>
      </c>
    </row>
    <row r="17" spans="1:6" ht="22.05" customHeight="1">
      <c r="A17" s="1" t="s">
        <v>11</v>
      </c>
      <c r="B17" s="1" t="s">
        <v>17</v>
      </c>
      <c r="C17" s="1" t="s">
        <v>185</v>
      </c>
      <c r="D17" s="1" t="s">
        <v>71</v>
      </c>
      <c r="E17" s="4">
        <v>1</v>
      </c>
      <c r="F17" s="5">
        <v>29979.69</v>
      </c>
    </row>
    <row r="18" spans="1:6" ht="22.05" customHeight="1">
      <c r="A18" s="8" t="s">
        <v>11</v>
      </c>
      <c r="B18" s="8" t="s">
        <v>17</v>
      </c>
      <c r="C18" s="8" t="s">
        <v>186</v>
      </c>
      <c r="D18" s="8" t="s">
        <v>71</v>
      </c>
      <c r="E18" s="7">
        <v>1</v>
      </c>
      <c r="F18" s="9">
        <v>14732.81</v>
      </c>
    </row>
    <row r="19" spans="1:6" ht="22.05" customHeight="1">
      <c r="A19" s="1" t="s">
        <v>11</v>
      </c>
      <c r="B19" s="1" t="s">
        <v>17</v>
      </c>
      <c r="C19" s="1" t="s">
        <v>187</v>
      </c>
      <c r="D19" s="1" t="s">
        <v>71</v>
      </c>
      <c r="E19" s="4">
        <v>1</v>
      </c>
      <c r="F19" s="5">
        <v>14916.56</v>
      </c>
    </row>
    <row r="20" spans="1:6" ht="22.05" customHeight="1">
      <c r="A20" s="8" t="s">
        <v>11</v>
      </c>
      <c r="B20" s="8" t="s">
        <v>17</v>
      </c>
      <c r="C20" s="8" t="s">
        <v>188</v>
      </c>
      <c r="D20" s="8" t="s">
        <v>71</v>
      </c>
      <c r="E20" s="7">
        <v>1</v>
      </c>
      <c r="F20" s="9">
        <v>24587.5</v>
      </c>
    </row>
    <row r="21" spans="1:6" ht="22.05" customHeight="1">
      <c r="A21" s="1" t="s">
        <v>11</v>
      </c>
      <c r="B21" s="1" t="s">
        <v>17</v>
      </c>
      <c r="C21" s="1" t="s">
        <v>189</v>
      </c>
      <c r="D21" s="1" t="s">
        <v>71</v>
      </c>
      <c r="E21" s="4">
        <v>1</v>
      </c>
      <c r="F21" s="5">
        <v>23751.88</v>
      </c>
    </row>
    <row r="22" spans="1:6" ht="22.05" customHeight="1">
      <c r="A22" s="8" t="s">
        <v>11</v>
      </c>
      <c r="B22" s="8" t="s">
        <v>17</v>
      </c>
      <c r="C22" s="8" t="s">
        <v>126</v>
      </c>
      <c r="D22" s="8" t="s">
        <v>75</v>
      </c>
      <c r="E22" s="7">
        <v>1</v>
      </c>
      <c r="F22" s="7">
        <v>45450</v>
      </c>
    </row>
    <row r="23" spans="1:6" ht="22.05" customHeight="1">
      <c r="A23" s="1" t="s">
        <v>11</v>
      </c>
      <c r="B23" s="1" t="s">
        <v>18</v>
      </c>
      <c r="C23" s="1" t="s">
        <v>190</v>
      </c>
      <c r="D23" s="1" t="s">
        <v>75</v>
      </c>
      <c r="E23" s="4">
        <v>1</v>
      </c>
      <c r="F23" s="4">
        <v>46345</v>
      </c>
    </row>
    <row r="24" spans="1:6" ht="22.05" customHeight="1">
      <c r="A24" s="8" t="s">
        <v>11</v>
      </c>
      <c r="B24" s="8" t="s">
        <v>18</v>
      </c>
      <c r="C24" s="8" t="s">
        <v>191</v>
      </c>
      <c r="D24" s="8" t="s">
        <v>75</v>
      </c>
      <c r="E24" s="7">
        <v>1</v>
      </c>
      <c r="F24" s="9">
        <v>44562.5</v>
      </c>
    </row>
    <row r="25" spans="1:6" ht="22.05" customHeight="1">
      <c r="A25" s="1" t="s">
        <v>11</v>
      </c>
      <c r="B25" s="1" t="s">
        <v>18</v>
      </c>
      <c r="C25" s="1" t="s">
        <v>192</v>
      </c>
      <c r="D25" s="1" t="s">
        <v>75</v>
      </c>
      <c r="E25" s="4">
        <v>1</v>
      </c>
      <c r="F25" s="4">
        <v>32085</v>
      </c>
    </row>
    <row r="26" spans="1:6" ht="22.05" customHeight="1">
      <c r="A26" s="8" t="s">
        <v>11</v>
      </c>
      <c r="B26" s="8" t="s">
        <v>18</v>
      </c>
      <c r="C26" s="8" t="s">
        <v>193</v>
      </c>
      <c r="D26" s="8" t="s">
        <v>75</v>
      </c>
      <c r="E26" s="7">
        <v>1</v>
      </c>
      <c r="F26" s="7">
        <v>10695</v>
      </c>
    </row>
    <row r="27" spans="1:6" ht="22.05" customHeight="1">
      <c r="A27" s="1" t="s">
        <v>11</v>
      </c>
      <c r="B27" s="1" t="s">
        <v>19</v>
      </c>
      <c r="C27" s="1" t="s">
        <v>194</v>
      </c>
      <c r="D27" s="1" t="s">
        <v>75</v>
      </c>
      <c r="E27" s="4">
        <v>1</v>
      </c>
      <c r="F27" s="4">
        <v>51240</v>
      </c>
    </row>
    <row r="28" spans="1:6" ht="22.05" customHeight="1">
      <c r="A28" s="8" t="s">
        <v>11</v>
      </c>
      <c r="B28" s="8" t="s">
        <v>19</v>
      </c>
      <c r="C28" s="8" t="s">
        <v>195</v>
      </c>
      <c r="D28" s="8" t="s">
        <v>75</v>
      </c>
      <c r="E28" s="7">
        <v>1</v>
      </c>
      <c r="F28" s="7">
        <v>36600</v>
      </c>
    </row>
    <row r="29" spans="1:6" ht="22.05" customHeight="1">
      <c r="A29" s="1" t="s">
        <v>11</v>
      </c>
      <c r="B29" s="1" t="s">
        <v>21</v>
      </c>
      <c r="C29" s="1" t="s">
        <v>196</v>
      </c>
      <c r="D29" s="1" t="s">
        <v>128</v>
      </c>
      <c r="E29" s="4">
        <v>1</v>
      </c>
      <c r="F29" s="5">
        <v>15934.19</v>
      </c>
    </row>
    <row r="30" spans="1:6" ht="22.05" customHeight="1">
      <c r="A30" s="8" t="s">
        <v>11</v>
      </c>
      <c r="B30" s="8" t="s">
        <v>21</v>
      </c>
      <c r="C30" s="8" t="s">
        <v>197</v>
      </c>
      <c r="D30" s="8" t="s">
        <v>128</v>
      </c>
      <c r="E30" s="7">
        <v>1</v>
      </c>
      <c r="F30" s="9">
        <v>10553.81</v>
      </c>
    </row>
    <row r="31" spans="1:6" ht="22.05" customHeight="1">
      <c r="A31" s="1" t="s">
        <v>11</v>
      </c>
      <c r="B31" s="1" t="s">
        <v>21</v>
      </c>
      <c r="C31" s="1" t="s">
        <v>198</v>
      </c>
      <c r="D31" s="1" t="s">
        <v>130</v>
      </c>
      <c r="E31" s="4">
        <v>1</v>
      </c>
      <c r="F31" s="5">
        <v>14102.14</v>
      </c>
    </row>
    <row r="32" spans="1:6" ht="22.05" customHeight="1">
      <c r="A32" s="8" t="s">
        <v>11</v>
      </c>
      <c r="B32" s="8" t="s">
        <v>21</v>
      </c>
      <c r="C32" s="8" t="s">
        <v>199</v>
      </c>
      <c r="D32" s="8" t="s">
        <v>128</v>
      </c>
      <c r="E32" s="7">
        <v>1</v>
      </c>
      <c r="F32" s="7">
        <v>9933</v>
      </c>
    </row>
    <row r="33" spans="1:6" ht="22.05" customHeight="1">
      <c r="A33" s="1" t="s">
        <v>11</v>
      </c>
      <c r="B33" s="1" t="s">
        <v>21</v>
      </c>
      <c r="C33" s="1" t="s">
        <v>200</v>
      </c>
      <c r="D33" s="1" t="s">
        <v>130</v>
      </c>
      <c r="E33" s="4">
        <v>1</v>
      </c>
      <c r="F33" s="5">
        <v>11740.56</v>
      </c>
    </row>
    <row r="34" spans="1:6" ht="22.05" customHeight="1">
      <c r="A34" s="8" t="s">
        <v>11</v>
      </c>
      <c r="B34" s="8" t="s">
        <v>21</v>
      </c>
      <c r="C34" s="8" t="s">
        <v>201</v>
      </c>
      <c r="D34" s="8" t="s">
        <v>128</v>
      </c>
      <c r="E34" s="7">
        <v>1</v>
      </c>
      <c r="F34" s="9">
        <v>13450.94</v>
      </c>
    </row>
    <row r="35" spans="1:6" ht="22.05" customHeight="1">
      <c r="A35" s="1" t="s">
        <v>11</v>
      </c>
      <c r="B35" s="1" t="s">
        <v>21</v>
      </c>
      <c r="C35" s="1" t="s">
        <v>202</v>
      </c>
      <c r="D35" s="1" t="s">
        <v>130</v>
      </c>
      <c r="E35" s="4">
        <v>1</v>
      </c>
      <c r="F35" s="5">
        <v>7013.76</v>
      </c>
    </row>
    <row r="36" spans="1:6" ht="22.05" customHeight="1">
      <c r="A36" s="8" t="s">
        <v>11</v>
      </c>
      <c r="B36" s="8" t="s">
        <v>21</v>
      </c>
      <c r="C36" s="8" t="s">
        <v>203</v>
      </c>
      <c r="D36" s="8" t="s">
        <v>128</v>
      </c>
      <c r="E36" s="7">
        <v>1</v>
      </c>
      <c r="F36" s="9">
        <v>827.75</v>
      </c>
    </row>
    <row r="37" spans="1:6" ht="22.05" customHeight="1">
      <c r="A37" s="1" t="s">
        <v>11</v>
      </c>
      <c r="B37" s="1" t="s">
        <v>22</v>
      </c>
      <c r="C37" s="1" t="s">
        <v>204</v>
      </c>
      <c r="D37" s="1" t="s">
        <v>75</v>
      </c>
      <c r="E37" s="4">
        <v>1</v>
      </c>
      <c r="F37" s="4">
        <v>15890</v>
      </c>
    </row>
    <row r="38" spans="1:6" ht="22.05" customHeight="1">
      <c r="A38" s="8" t="s">
        <v>11</v>
      </c>
      <c r="B38" s="8" t="s">
        <v>22</v>
      </c>
      <c r="C38" s="8" t="s">
        <v>205</v>
      </c>
      <c r="D38" s="8" t="s">
        <v>75</v>
      </c>
      <c r="E38" s="7">
        <v>1</v>
      </c>
      <c r="F38" s="9">
        <v>16457.5</v>
      </c>
    </row>
    <row r="39" spans="1:6" ht="22.05" customHeight="1">
      <c r="A39" s="1" t="s">
        <v>11</v>
      </c>
      <c r="B39" s="1" t="s">
        <v>22</v>
      </c>
      <c r="C39" s="1" t="s">
        <v>206</v>
      </c>
      <c r="D39" s="1" t="s">
        <v>75</v>
      </c>
      <c r="E39" s="4">
        <v>1</v>
      </c>
      <c r="F39" s="5">
        <v>17592.5</v>
      </c>
    </row>
    <row r="40" spans="1:6" ht="22.05" customHeight="1">
      <c r="A40" s="8" t="s">
        <v>11</v>
      </c>
      <c r="B40" s="8" t="s">
        <v>22</v>
      </c>
      <c r="C40" s="8" t="s">
        <v>207</v>
      </c>
      <c r="D40" s="8" t="s">
        <v>75</v>
      </c>
      <c r="E40" s="7">
        <v>1</v>
      </c>
      <c r="F40" s="7">
        <v>15890</v>
      </c>
    </row>
    <row r="41" spans="1:6" ht="22.05" customHeight="1">
      <c r="A41" s="1" t="s">
        <v>11</v>
      </c>
      <c r="B41" s="1" t="s">
        <v>22</v>
      </c>
      <c r="C41" s="1" t="s">
        <v>208</v>
      </c>
      <c r="D41" s="1" t="s">
        <v>75</v>
      </c>
      <c r="E41" s="4">
        <v>1</v>
      </c>
      <c r="F41" s="5">
        <v>15322.5</v>
      </c>
    </row>
    <row r="42" spans="1:6" ht="22.05" customHeight="1">
      <c r="A42" s="8" t="s">
        <v>11</v>
      </c>
      <c r="B42" s="8" t="s">
        <v>23</v>
      </c>
      <c r="C42" s="8" t="s">
        <v>209</v>
      </c>
      <c r="D42" s="8" t="s">
        <v>128</v>
      </c>
      <c r="E42" s="7">
        <v>1</v>
      </c>
      <c r="F42" s="9">
        <v>10610.25</v>
      </c>
    </row>
    <row r="43" spans="1:6" ht="22.05" customHeight="1">
      <c r="A43" s="1" t="s">
        <v>11</v>
      </c>
      <c r="B43" s="1" t="s">
        <v>23</v>
      </c>
      <c r="C43" s="1" t="s">
        <v>210</v>
      </c>
      <c r="D43" s="1" t="s">
        <v>128</v>
      </c>
      <c r="E43" s="4">
        <v>1</v>
      </c>
      <c r="F43" s="5">
        <v>10384.5</v>
      </c>
    </row>
    <row r="44" spans="1:6" ht="22.05" customHeight="1">
      <c r="A44" s="8" t="s">
        <v>11</v>
      </c>
      <c r="B44" s="8" t="s">
        <v>23</v>
      </c>
      <c r="C44" s="8" t="s">
        <v>211</v>
      </c>
      <c r="D44" s="8" t="s">
        <v>130</v>
      </c>
      <c r="E44" s="7">
        <v>1</v>
      </c>
      <c r="F44" s="9">
        <v>12209.34</v>
      </c>
    </row>
    <row r="45" spans="1:6" ht="22.05" customHeight="1">
      <c r="A45" s="1" t="s">
        <v>11</v>
      </c>
      <c r="B45" s="1" t="s">
        <v>23</v>
      </c>
      <c r="C45" s="1" t="s">
        <v>212</v>
      </c>
      <c r="D45" s="1" t="s">
        <v>128</v>
      </c>
      <c r="E45" s="4">
        <v>1</v>
      </c>
      <c r="F45" s="4">
        <v>10836</v>
      </c>
    </row>
    <row r="46" spans="1:6" ht="22.05" customHeight="1">
      <c r="A46" s="8" t="s">
        <v>11</v>
      </c>
      <c r="B46" s="8" t="s">
        <v>23</v>
      </c>
      <c r="C46" s="8" t="s">
        <v>213</v>
      </c>
      <c r="D46" s="8" t="s">
        <v>130</v>
      </c>
      <c r="E46" s="7">
        <v>1</v>
      </c>
      <c r="F46" s="9">
        <v>10424.18</v>
      </c>
    </row>
    <row r="47" spans="1:6" ht="22.05" customHeight="1">
      <c r="A47" s="1" t="s">
        <v>11</v>
      </c>
      <c r="B47" s="1" t="s">
        <v>23</v>
      </c>
      <c r="C47" s="1" t="s">
        <v>214</v>
      </c>
      <c r="D47" s="1" t="s">
        <v>128</v>
      </c>
      <c r="E47" s="4">
        <v>1</v>
      </c>
      <c r="F47" s="5">
        <v>3160.5</v>
      </c>
    </row>
    <row r="48" spans="1:6" ht="22.05" customHeight="1">
      <c r="A48" s="8" t="s">
        <v>11</v>
      </c>
      <c r="B48" s="8" t="s">
        <v>23</v>
      </c>
      <c r="C48" s="8" t="s">
        <v>215</v>
      </c>
      <c r="D48" s="8" t="s">
        <v>130</v>
      </c>
      <c r="E48" s="7">
        <v>1</v>
      </c>
      <c r="F48" s="9">
        <v>6832.02</v>
      </c>
    </row>
    <row r="49" spans="1:6" ht="22.05" customHeight="1">
      <c r="A49" s="1" t="s">
        <v>11</v>
      </c>
      <c r="B49" s="1" t="s">
        <v>23</v>
      </c>
      <c r="C49" s="1" t="s">
        <v>216</v>
      </c>
      <c r="D49" s="1" t="s">
        <v>128</v>
      </c>
      <c r="E49" s="4">
        <v>1</v>
      </c>
      <c r="F49" s="5">
        <v>12190.5</v>
      </c>
    </row>
    <row r="50" spans="1:6" ht="22.05" customHeight="1">
      <c r="A50" s="8" t="s">
        <v>11</v>
      </c>
      <c r="B50" s="8" t="s">
        <v>24</v>
      </c>
      <c r="C50" s="8" t="s">
        <v>217</v>
      </c>
      <c r="D50" s="8" t="s">
        <v>128</v>
      </c>
      <c r="E50" s="7">
        <v>1</v>
      </c>
      <c r="F50" s="9">
        <v>17382.75</v>
      </c>
    </row>
    <row r="51" spans="1:6" ht="22.05" customHeight="1">
      <c r="A51" s="1" t="s">
        <v>11</v>
      </c>
      <c r="B51" s="1" t="s">
        <v>24</v>
      </c>
      <c r="C51" s="1" t="s">
        <v>218</v>
      </c>
      <c r="D51" s="1" t="s">
        <v>128</v>
      </c>
      <c r="E51" s="4">
        <v>1</v>
      </c>
      <c r="F51" s="5">
        <v>4966.5</v>
      </c>
    </row>
    <row r="52" spans="1:6" ht="22.05" customHeight="1">
      <c r="A52" s="8" t="s">
        <v>11</v>
      </c>
      <c r="B52" s="8" t="s">
        <v>24</v>
      </c>
      <c r="C52" s="8" t="s">
        <v>219</v>
      </c>
      <c r="D52" s="8" t="s">
        <v>130</v>
      </c>
      <c r="E52" s="7">
        <v>1</v>
      </c>
      <c r="F52" s="9">
        <v>13310.44</v>
      </c>
    </row>
    <row r="53" spans="1:6" ht="22.05" customHeight="1">
      <c r="A53" s="1" t="s">
        <v>11</v>
      </c>
      <c r="B53" s="1" t="s">
        <v>24</v>
      </c>
      <c r="C53" s="1" t="s">
        <v>220</v>
      </c>
      <c r="D53" s="1" t="s">
        <v>128</v>
      </c>
      <c r="E53" s="4">
        <v>1</v>
      </c>
      <c r="F53" s="5">
        <v>3386.25</v>
      </c>
    </row>
    <row r="54" spans="1:6" ht="22.05" customHeight="1">
      <c r="A54" s="8" t="s">
        <v>11</v>
      </c>
      <c r="B54" s="8" t="s">
        <v>24</v>
      </c>
      <c r="C54" s="8" t="s">
        <v>221</v>
      </c>
      <c r="D54" s="8" t="s">
        <v>130</v>
      </c>
      <c r="E54" s="7">
        <v>1</v>
      </c>
      <c r="F54" s="9">
        <v>11969.62</v>
      </c>
    </row>
    <row r="55" spans="1:6" ht="22.05" customHeight="1">
      <c r="A55" s="1" t="s">
        <v>11</v>
      </c>
      <c r="B55" s="1" t="s">
        <v>24</v>
      </c>
      <c r="C55" s="1" t="s">
        <v>222</v>
      </c>
      <c r="D55" s="1" t="s">
        <v>128</v>
      </c>
      <c r="E55" s="4">
        <v>1</v>
      </c>
      <c r="F55" s="5">
        <v>13996.5</v>
      </c>
    </row>
    <row r="56" spans="1:6" ht="22.05" customHeight="1">
      <c r="A56" s="8" t="s">
        <v>11</v>
      </c>
      <c r="B56" s="8" t="s">
        <v>24</v>
      </c>
      <c r="C56" s="8" t="s">
        <v>223</v>
      </c>
      <c r="D56" s="8" t="s">
        <v>130</v>
      </c>
      <c r="E56" s="7">
        <v>1</v>
      </c>
      <c r="F56" s="9">
        <v>7719.66</v>
      </c>
    </row>
    <row r="57" spans="1:6" ht="22.05" customHeight="1">
      <c r="A57" s="1" t="s">
        <v>11</v>
      </c>
      <c r="B57" s="1" t="s">
        <v>24</v>
      </c>
      <c r="C57" s="1" t="s">
        <v>224</v>
      </c>
      <c r="D57" s="1" t="s">
        <v>128</v>
      </c>
      <c r="E57" s="4">
        <v>1</v>
      </c>
      <c r="F57" s="5">
        <v>1580.25</v>
      </c>
    </row>
    <row r="58" spans="1:6" ht="22.05" customHeight="1">
      <c r="A58" s="8" t="s">
        <v>11</v>
      </c>
      <c r="B58" s="8" t="s">
        <v>25</v>
      </c>
      <c r="C58" s="8" t="s">
        <v>225</v>
      </c>
      <c r="D58" s="8" t="s">
        <v>128</v>
      </c>
      <c r="E58" s="7">
        <v>1</v>
      </c>
      <c r="F58" s="9">
        <v>12593.63</v>
      </c>
    </row>
    <row r="59" spans="1:6" ht="22.05" customHeight="1">
      <c r="A59" s="1" t="s">
        <v>11</v>
      </c>
      <c r="B59" s="1" t="s">
        <v>25</v>
      </c>
      <c r="C59" s="1" t="s">
        <v>226</v>
      </c>
      <c r="D59" s="1" t="s">
        <v>128</v>
      </c>
      <c r="E59" s="4">
        <v>1</v>
      </c>
      <c r="F59" s="5">
        <v>2128.5</v>
      </c>
    </row>
    <row r="60" spans="1:6" ht="22.05" customHeight="1">
      <c r="A60" s="8" t="s">
        <v>11</v>
      </c>
      <c r="B60" s="8" t="s">
        <v>25</v>
      </c>
      <c r="C60" s="8" t="s">
        <v>227</v>
      </c>
      <c r="D60" s="8" t="s">
        <v>130</v>
      </c>
      <c r="E60" s="7">
        <v>1</v>
      </c>
      <c r="F60" s="9">
        <v>11540.88</v>
      </c>
    </row>
    <row r="61" spans="1:6" ht="22.05" customHeight="1">
      <c r="A61" s="1" t="s">
        <v>11</v>
      </c>
      <c r="B61" s="1" t="s">
        <v>25</v>
      </c>
      <c r="C61" s="1" t="s">
        <v>228</v>
      </c>
      <c r="D61" s="1" t="s">
        <v>128</v>
      </c>
      <c r="E61" s="4">
        <v>1</v>
      </c>
      <c r="F61" s="5">
        <v>2305.88</v>
      </c>
    </row>
    <row r="62" spans="1:6" ht="22.05" customHeight="1">
      <c r="A62" s="8" t="s">
        <v>11</v>
      </c>
      <c r="B62" s="8" t="s">
        <v>25</v>
      </c>
      <c r="C62" s="8" t="s">
        <v>229</v>
      </c>
      <c r="D62" s="8" t="s">
        <v>130</v>
      </c>
      <c r="E62" s="7">
        <v>1</v>
      </c>
      <c r="F62" s="9">
        <v>9507.16</v>
      </c>
    </row>
    <row r="63" spans="1:6" ht="22.05" customHeight="1">
      <c r="A63" s="1" t="s">
        <v>11</v>
      </c>
      <c r="B63" s="1" t="s">
        <v>25</v>
      </c>
      <c r="C63" s="1" t="s">
        <v>230</v>
      </c>
      <c r="D63" s="1" t="s">
        <v>128</v>
      </c>
      <c r="E63" s="4">
        <v>1</v>
      </c>
      <c r="F63" s="5">
        <v>10110.379999999999</v>
      </c>
    </row>
    <row r="64" spans="1:6" ht="22.05" customHeight="1">
      <c r="A64" s="8" t="s">
        <v>11</v>
      </c>
      <c r="B64" s="8" t="s">
        <v>25</v>
      </c>
      <c r="C64" s="8" t="s">
        <v>231</v>
      </c>
      <c r="D64" s="8" t="s">
        <v>130</v>
      </c>
      <c r="E64" s="7">
        <v>1</v>
      </c>
      <c r="F64" s="9">
        <v>5941.52</v>
      </c>
    </row>
    <row r="65" spans="1:6" ht="22.05" customHeight="1">
      <c r="A65" s="1" t="s">
        <v>11</v>
      </c>
      <c r="B65" s="1" t="s">
        <v>25</v>
      </c>
      <c r="C65" s="1" t="s">
        <v>232</v>
      </c>
      <c r="D65" s="1" t="s">
        <v>128</v>
      </c>
      <c r="E65" s="4">
        <v>1</v>
      </c>
      <c r="F65" s="5">
        <v>10465.129999999999</v>
      </c>
    </row>
    <row r="66" spans="1:6" ht="22.05" customHeight="1">
      <c r="A66" s="8" t="s">
        <v>11</v>
      </c>
      <c r="B66" s="8" t="s">
        <v>26</v>
      </c>
      <c r="C66" s="8" t="s">
        <v>233</v>
      </c>
      <c r="D66" s="8" t="s">
        <v>128</v>
      </c>
      <c r="E66" s="7">
        <v>1</v>
      </c>
      <c r="F66" s="9">
        <v>5853.38</v>
      </c>
    </row>
    <row r="67" spans="1:6" ht="22.05" customHeight="1">
      <c r="A67" s="1" t="s">
        <v>11</v>
      </c>
      <c r="B67" s="1" t="s">
        <v>26</v>
      </c>
      <c r="C67" s="1" t="s">
        <v>234</v>
      </c>
      <c r="D67" s="1" t="s">
        <v>128</v>
      </c>
      <c r="E67" s="4">
        <v>1</v>
      </c>
      <c r="F67" s="5">
        <v>8336.6299999999992</v>
      </c>
    </row>
    <row r="68" spans="1:6" ht="22.05" customHeight="1">
      <c r="A68" s="8" t="s">
        <v>11</v>
      </c>
      <c r="B68" s="8" t="s">
        <v>26</v>
      </c>
      <c r="C68" s="8" t="s">
        <v>235</v>
      </c>
      <c r="D68" s="8" t="s">
        <v>130</v>
      </c>
      <c r="E68" s="7">
        <v>1</v>
      </c>
      <c r="F68" s="9">
        <v>10990.46</v>
      </c>
    </row>
    <row r="69" spans="1:6" ht="22.05" customHeight="1">
      <c r="A69" s="1" t="s">
        <v>11</v>
      </c>
      <c r="B69" s="1" t="s">
        <v>26</v>
      </c>
      <c r="C69" s="1" t="s">
        <v>236</v>
      </c>
      <c r="D69" s="1" t="s">
        <v>128</v>
      </c>
      <c r="E69" s="4">
        <v>1</v>
      </c>
      <c r="F69" s="5">
        <v>10642.5</v>
      </c>
    </row>
    <row r="70" spans="1:6" ht="22.05" customHeight="1">
      <c r="A70" s="8" t="s">
        <v>11</v>
      </c>
      <c r="B70" s="8" t="s">
        <v>26</v>
      </c>
      <c r="C70" s="8" t="s">
        <v>237</v>
      </c>
      <c r="D70" s="8" t="s">
        <v>130</v>
      </c>
      <c r="E70" s="7">
        <v>1</v>
      </c>
      <c r="F70" s="9">
        <v>6866.86</v>
      </c>
    </row>
    <row r="71" spans="1:6" ht="22.05" customHeight="1">
      <c r="A71" s="1" t="s">
        <v>11</v>
      </c>
      <c r="B71" s="1" t="s">
        <v>26</v>
      </c>
      <c r="C71" s="1" t="s">
        <v>238</v>
      </c>
      <c r="D71" s="1" t="s">
        <v>128</v>
      </c>
      <c r="E71" s="4">
        <v>1</v>
      </c>
      <c r="F71" s="5">
        <v>10642.5</v>
      </c>
    </row>
    <row r="72" spans="1:6" ht="22.05" customHeight="1">
      <c r="A72" s="8" t="s">
        <v>11</v>
      </c>
      <c r="B72" s="8" t="s">
        <v>27</v>
      </c>
      <c r="C72" s="8" t="s">
        <v>239</v>
      </c>
      <c r="D72" s="8" t="s">
        <v>128</v>
      </c>
      <c r="E72" s="7">
        <v>1</v>
      </c>
      <c r="F72" s="9">
        <v>6081.81</v>
      </c>
    </row>
    <row r="73" spans="1:6" ht="22.05" customHeight="1">
      <c r="A73" s="1" t="s">
        <v>11</v>
      </c>
      <c r="B73" s="1" t="s">
        <v>27</v>
      </c>
      <c r="C73" s="1" t="s">
        <v>240</v>
      </c>
      <c r="D73" s="1" t="s">
        <v>128</v>
      </c>
      <c r="E73" s="4">
        <v>1</v>
      </c>
      <c r="F73" s="5">
        <v>980.94</v>
      </c>
    </row>
    <row r="74" spans="1:6" ht="22.05" customHeight="1">
      <c r="A74" s="8" t="s">
        <v>11</v>
      </c>
      <c r="B74" s="8" t="s">
        <v>27</v>
      </c>
      <c r="C74" s="8" t="s">
        <v>241</v>
      </c>
      <c r="D74" s="8" t="s">
        <v>130</v>
      </c>
      <c r="E74" s="7">
        <v>1</v>
      </c>
      <c r="F74" s="9">
        <v>9009.7800000000007</v>
      </c>
    </row>
    <row r="75" spans="1:6" ht="22.05" customHeight="1">
      <c r="A75" s="1" t="s">
        <v>11</v>
      </c>
      <c r="B75" s="1" t="s">
        <v>27</v>
      </c>
      <c r="C75" s="1" t="s">
        <v>242</v>
      </c>
      <c r="D75" s="1" t="s">
        <v>128</v>
      </c>
      <c r="E75" s="4">
        <v>1</v>
      </c>
      <c r="F75" s="5">
        <v>1177.1300000000001</v>
      </c>
    </row>
    <row r="76" spans="1:6" ht="22.05" customHeight="1">
      <c r="A76" s="8" t="s">
        <v>11</v>
      </c>
      <c r="B76" s="8" t="s">
        <v>27</v>
      </c>
      <c r="C76" s="8" t="s">
        <v>243</v>
      </c>
      <c r="D76" s="8" t="s">
        <v>130</v>
      </c>
      <c r="E76" s="7">
        <v>1</v>
      </c>
      <c r="F76" s="9">
        <v>9425.52</v>
      </c>
    </row>
    <row r="77" spans="1:6" ht="22.05" customHeight="1">
      <c r="A77" s="1" t="s">
        <v>11</v>
      </c>
      <c r="B77" s="1" t="s">
        <v>27</v>
      </c>
      <c r="C77" s="1" t="s">
        <v>244</v>
      </c>
      <c r="D77" s="1" t="s">
        <v>128</v>
      </c>
      <c r="E77" s="4">
        <v>1</v>
      </c>
      <c r="F77" s="5">
        <v>7062.75</v>
      </c>
    </row>
    <row r="78" spans="1:6" ht="22.05" customHeight="1">
      <c r="A78" s="8" t="s">
        <v>11</v>
      </c>
      <c r="B78" s="8" t="s">
        <v>27</v>
      </c>
      <c r="C78" s="8" t="s">
        <v>245</v>
      </c>
      <c r="D78" s="8" t="s">
        <v>130</v>
      </c>
      <c r="E78" s="7">
        <v>1</v>
      </c>
      <c r="F78" s="9">
        <v>6792.24</v>
      </c>
    </row>
    <row r="79" spans="1:6" ht="22.05" customHeight="1">
      <c r="A79" s="1" t="s">
        <v>11</v>
      </c>
      <c r="B79" s="1" t="s">
        <v>27</v>
      </c>
      <c r="C79" s="1" t="s">
        <v>246</v>
      </c>
      <c r="D79" s="1" t="s">
        <v>128</v>
      </c>
      <c r="E79" s="4">
        <v>1</v>
      </c>
      <c r="F79" s="5">
        <v>7847.5</v>
      </c>
    </row>
    <row r="80" spans="1:6" ht="22.05" customHeight="1">
      <c r="A80" s="8" t="s">
        <v>11</v>
      </c>
      <c r="B80" s="8" t="s">
        <v>28</v>
      </c>
      <c r="C80" s="8" t="s">
        <v>247</v>
      </c>
      <c r="D80" s="8" t="s">
        <v>128</v>
      </c>
      <c r="E80" s="7">
        <v>1</v>
      </c>
      <c r="F80" s="9">
        <v>11061.75</v>
      </c>
    </row>
    <row r="81" spans="1:6" ht="22.05" customHeight="1">
      <c r="A81" s="1" t="s">
        <v>11</v>
      </c>
      <c r="B81" s="1" t="s">
        <v>28</v>
      </c>
      <c r="C81" s="1" t="s">
        <v>248</v>
      </c>
      <c r="D81" s="1" t="s">
        <v>128</v>
      </c>
      <c r="E81" s="4">
        <v>1</v>
      </c>
      <c r="F81" s="5">
        <v>1128.75</v>
      </c>
    </row>
    <row r="82" spans="1:6" ht="22.05" customHeight="1">
      <c r="A82" s="8" t="s">
        <v>11</v>
      </c>
      <c r="B82" s="8" t="s">
        <v>28</v>
      </c>
      <c r="C82" s="8" t="s">
        <v>249</v>
      </c>
      <c r="D82" s="8" t="s">
        <v>130</v>
      </c>
      <c r="E82" s="7">
        <v>1</v>
      </c>
      <c r="F82" s="9">
        <v>9830.34</v>
      </c>
    </row>
    <row r="83" spans="1:6" ht="22.05" customHeight="1">
      <c r="A83" s="1" t="s">
        <v>11</v>
      </c>
      <c r="B83" s="1" t="s">
        <v>28</v>
      </c>
      <c r="C83" s="1" t="s">
        <v>250</v>
      </c>
      <c r="D83" s="1" t="s">
        <v>128</v>
      </c>
      <c r="E83" s="4">
        <v>1</v>
      </c>
      <c r="F83" s="5">
        <v>677.25</v>
      </c>
    </row>
    <row r="84" spans="1:6" ht="22.05" customHeight="1">
      <c r="A84" s="8" t="s">
        <v>11</v>
      </c>
      <c r="B84" s="8" t="s">
        <v>28</v>
      </c>
      <c r="C84" s="8" t="s">
        <v>251</v>
      </c>
      <c r="D84" s="8" t="s">
        <v>130</v>
      </c>
      <c r="E84" s="7">
        <v>1</v>
      </c>
      <c r="F84" s="9">
        <v>10371.92</v>
      </c>
    </row>
    <row r="85" spans="1:6" ht="22.05" customHeight="1">
      <c r="A85" s="1" t="s">
        <v>11</v>
      </c>
      <c r="B85" s="1" t="s">
        <v>28</v>
      </c>
      <c r="C85" s="1" t="s">
        <v>252</v>
      </c>
      <c r="D85" s="1" t="s">
        <v>128</v>
      </c>
      <c r="E85" s="4">
        <v>1</v>
      </c>
      <c r="F85" s="5">
        <v>3160.5</v>
      </c>
    </row>
    <row r="86" spans="1:6" ht="22.05" customHeight="1">
      <c r="A86" s="8" t="s">
        <v>11</v>
      </c>
      <c r="B86" s="8" t="s">
        <v>28</v>
      </c>
      <c r="C86" s="8" t="s">
        <v>253</v>
      </c>
      <c r="D86" s="8" t="s">
        <v>130</v>
      </c>
      <c r="E86" s="7">
        <v>1</v>
      </c>
      <c r="F86" s="9">
        <v>5574.14</v>
      </c>
    </row>
    <row r="87" spans="1:6" ht="22.05" customHeight="1">
      <c r="A87" s="1" t="s">
        <v>11</v>
      </c>
      <c r="B87" s="1" t="s">
        <v>28</v>
      </c>
      <c r="C87" s="1" t="s">
        <v>254</v>
      </c>
      <c r="D87" s="1" t="s">
        <v>128</v>
      </c>
      <c r="E87" s="4">
        <v>1</v>
      </c>
      <c r="F87" s="5">
        <v>3386.25</v>
      </c>
    </row>
    <row r="88" spans="1:6" ht="22.05" customHeight="1">
      <c r="A88" s="8" t="s">
        <v>11</v>
      </c>
      <c r="B88" s="8" t="s">
        <v>29</v>
      </c>
      <c r="C88" s="8" t="s">
        <v>255</v>
      </c>
      <c r="D88" s="8" t="s">
        <v>75</v>
      </c>
      <c r="E88" s="7">
        <v>1</v>
      </c>
      <c r="F88" s="7">
        <v>7350</v>
      </c>
    </row>
    <row r="89" spans="1:6" ht="22.05" customHeight="1">
      <c r="A89" s="1" t="s">
        <v>11</v>
      </c>
      <c r="B89" s="1" t="s">
        <v>29</v>
      </c>
      <c r="C89" s="1" t="s">
        <v>256</v>
      </c>
      <c r="D89" s="1" t="s">
        <v>75</v>
      </c>
      <c r="E89" s="4">
        <v>1</v>
      </c>
      <c r="F89" s="4">
        <v>12600</v>
      </c>
    </row>
    <row r="90" spans="1:6" ht="22.05" customHeight="1">
      <c r="A90" s="8" t="s">
        <v>11</v>
      </c>
      <c r="B90" s="8" t="s">
        <v>31</v>
      </c>
      <c r="C90" s="8" t="s">
        <v>152</v>
      </c>
      <c r="D90" s="8" t="s">
        <v>128</v>
      </c>
      <c r="E90" s="7">
        <v>1</v>
      </c>
      <c r="F90" s="7">
        <v>17458</v>
      </c>
    </row>
    <row r="91" spans="1:6" ht="22.05" customHeight="1">
      <c r="A91" s="1" t="s">
        <v>11</v>
      </c>
      <c r="B91" s="1" t="s">
        <v>32</v>
      </c>
      <c r="C91" s="1" t="s">
        <v>156</v>
      </c>
      <c r="D91" s="1" t="s">
        <v>75</v>
      </c>
      <c r="E91" s="4">
        <v>1</v>
      </c>
      <c r="F91" s="4">
        <v>9080</v>
      </c>
    </row>
    <row r="92" spans="1:6" ht="22.05" customHeight="1">
      <c r="A92" s="8" t="s">
        <v>11</v>
      </c>
      <c r="B92" s="8" t="s">
        <v>33</v>
      </c>
      <c r="C92" s="8" t="s">
        <v>164</v>
      </c>
      <c r="D92" s="8" t="s">
        <v>75</v>
      </c>
      <c r="E92" s="7">
        <v>1</v>
      </c>
      <c r="F92" s="9">
        <v>3972.5</v>
      </c>
    </row>
    <row r="93" spans="1:6" ht="22.05" customHeight="1">
      <c r="A93" s="1" t="s">
        <v>11</v>
      </c>
      <c r="B93" s="1" t="s">
        <v>34</v>
      </c>
      <c r="C93" s="1" t="s">
        <v>162</v>
      </c>
      <c r="D93" s="1" t="s">
        <v>128</v>
      </c>
      <c r="E93" s="4">
        <v>1</v>
      </c>
      <c r="F93" s="5">
        <v>201.56</v>
      </c>
    </row>
    <row r="94" spans="1:6" ht="22.05" customHeight="1">
      <c r="A94" s="8" t="s">
        <v>11</v>
      </c>
      <c r="B94" s="8" t="s">
        <v>34</v>
      </c>
      <c r="C94" s="8" t="s">
        <v>161</v>
      </c>
      <c r="D94" s="8" t="s">
        <v>130</v>
      </c>
      <c r="E94" s="7">
        <v>1</v>
      </c>
      <c r="F94" s="9">
        <v>1607.32</v>
      </c>
    </row>
    <row r="95" spans="1:6" ht="22.05" customHeight="1">
      <c r="A95" s="1" t="s">
        <v>35</v>
      </c>
      <c r="B95" s="1" t="s">
        <v>36</v>
      </c>
      <c r="C95" s="1" t="s">
        <v>257</v>
      </c>
      <c r="D95" s="1" t="s">
        <v>132</v>
      </c>
      <c r="E95" s="4">
        <v>1</v>
      </c>
      <c r="F95" s="4">
        <v>35650</v>
      </c>
    </row>
    <row r="96" spans="1:6" ht="22.05" customHeight="1">
      <c r="A96" s="8" t="s">
        <v>35</v>
      </c>
      <c r="B96" s="8" t="s">
        <v>36</v>
      </c>
      <c r="C96" s="8" t="s">
        <v>258</v>
      </c>
      <c r="D96" s="8" t="s">
        <v>132</v>
      </c>
      <c r="E96" s="7">
        <v>1</v>
      </c>
      <c r="F96" s="9">
        <v>26737.5</v>
      </c>
    </row>
    <row r="97" spans="1:6" ht="22.05" customHeight="1">
      <c r="A97" s="1" t="s">
        <v>35</v>
      </c>
      <c r="B97" s="1" t="s">
        <v>36</v>
      </c>
      <c r="C97" s="1" t="s">
        <v>259</v>
      </c>
      <c r="D97" s="1" t="s">
        <v>132</v>
      </c>
      <c r="E97" s="4">
        <v>1</v>
      </c>
      <c r="F97" s="4">
        <v>28520</v>
      </c>
    </row>
    <row r="98" spans="1:6" ht="22.05" customHeight="1">
      <c r="A98" s="8" t="s">
        <v>35</v>
      </c>
      <c r="B98" s="8" t="s">
        <v>37</v>
      </c>
      <c r="C98" s="8" t="s">
        <v>260</v>
      </c>
      <c r="D98" s="8" t="s">
        <v>132</v>
      </c>
      <c r="E98" s="7">
        <v>1</v>
      </c>
      <c r="F98" s="7">
        <v>11350</v>
      </c>
    </row>
    <row r="99" spans="1:6" ht="22.05" customHeight="1">
      <c r="A99" s="1" t="s">
        <v>35</v>
      </c>
      <c r="B99" s="1" t="s">
        <v>37</v>
      </c>
      <c r="C99" s="1" t="s">
        <v>261</v>
      </c>
      <c r="D99" s="1" t="s">
        <v>132</v>
      </c>
      <c r="E99" s="4">
        <v>1</v>
      </c>
      <c r="F99" s="4">
        <v>11350</v>
      </c>
    </row>
    <row r="100" spans="1:6" ht="22.05" customHeight="1">
      <c r="A100" s="8" t="s">
        <v>35</v>
      </c>
      <c r="B100" s="8" t="s">
        <v>37</v>
      </c>
      <c r="C100" s="8" t="s">
        <v>262</v>
      </c>
      <c r="D100" s="8" t="s">
        <v>132</v>
      </c>
      <c r="E100" s="7">
        <v>1</v>
      </c>
      <c r="F100" s="9">
        <v>10782.5</v>
      </c>
    </row>
    <row r="101" spans="1:6" ht="22.05" customHeight="1">
      <c r="A101" s="1" t="s">
        <v>35</v>
      </c>
      <c r="B101" s="1" t="s">
        <v>38</v>
      </c>
      <c r="C101" s="1" t="s">
        <v>263</v>
      </c>
      <c r="D101" s="1" t="s">
        <v>132</v>
      </c>
      <c r="E101" s="4">
        <v>1</v>
      </c>
      <c r="F101" s="5">
        <v>6242.5</v>
      </c>
    </row>
    <row r="102" spans="1:6" ht="22.05" customHeight="1">
      <c r="A102" s="8" t="s">
        <v>35</v>
      </c>
      <c r="B102" s="8" t="s">
        <v>38</v>
      </c>
      <c r="C102" s="8" t="s">
        <v>264</v>
      </c>
      <c r="D102" s="8" t="s">
        <v>132</v>
      </c>
      <c r="E102" s="7">
        <v>1</v>
      </c>
      <c r="F102" s="7">
        <v>11350</v>
      </c>
    </row>
    <row r="103" spans="1:6" ht="22.05" customHeight="1">
      <c r="A103" s="1" t="s">
        <v>35</v>
      </c>
      <c r="B103" s="1" t="s">
        <v>38</v>
      </c>
      <c r="C103" s="1" t="s">
        <v>265</v>
      </c>
      <c r="D103" s="1" t="s">
        <v>132</v>
      </c>
      <c r="E103" s="4">
        <v>1</v>
      </c>
      <c r="F103" s="5">
        <v>10782.5</v>
      </c>
    </row>
    <row r="104" spans="1:6" ht="22.05" customHeight="1">
      <c r="A104" s="8" t="s">
        <v>35</v>
      </c>
      <c r="B104" s="8" t="s">
        <v>39</v>
      </c>
      <c r="C104" s="8" t="s">
        <v>151</v>
      </c>
      <c r="D104" s="8" t="s">
        <v>150</v>
      </c>
      <c r="E104" s="7">
        <v>1</v>
      </c>
      <c r="F104" s="7">
        <v>25587</v>
      </c>
    </row>
    <row r="105" spans="1:6" ht="22.05" customHeight="1">
      <c r="A105" s="1" t="s">
        <v>35</v>
      </c>
      <c r="B105" s="1" t="s">
        <v>40</v>
      </c>
      <c r="C105" s="1" t="s">
        <v>157</v>
      </c>
      <c r="D105" s="1" t="s">
        <v>132</v>
      </c>
      <c r="E105" s="4">
        <v>1</v>
      </c>
      <c r="F105" s="5">
        <v>6807.5</v>
      </c>
    </row>
    <row r="106" spans="1:6" ht="22.05" customHeight="1">
      <c r="A106" s="8" t="s">
        <v>35</v>
      </c>
      <c r="B106" s="8" t="s">
        <v>41</v>
      </c>
      <c r="C106" s="8" t="s">
        <v>158</v>
      </c>
      <c r="D106" s="8" t="s">
        <v>153</v>
      </c>
      <c r="E106" s="7">
        <v>1</v>
      </c>
      <c r="F106" s="7">
        <v>6525</v>
      </c>
    </row>
    <row r="107" spans="1:6" ht="22.05" customHeight="1">
      <c r="A107" s="1" t="s">
        <v>35</v>
      </c>
      <c r="B107" s="1" t="s">
        <v>42</v>
      </c>
      <c r="C107" s="1" t="s">
        <v>159</v>
      </c>
      <c r="D107" s="1" t="s">
        <v>153</v>
      </c>
      <c r="E107" s="4">
        <v>1</v>
      </c>
      <c r="F107" s="4">
        <v>6090</v>
      </c>
    </row>
    <row r="108" spans="1:6" ht="22.05" customHeight="1">
      <c r="A108" s="8" t="s">
        <v>35</v>
      </c>
      <c r="B108" s="8" t="s">
        <v>43</v>
      </c>
      <c r="C108" s="8" t="s">
        <v>163</v>
      </c>
      <c r="D108" s="8" t="s">
        <v>153</v>
      </c>
      <c r="E108" s="7">
        <v>1</v>
      </c>
      <c r="F108" s="7">
        <v>4300</v>
      </c>
    </row>
    <row r="109" spans="1:6" ht="22.05" customHeight="1">
      <c r="A109" s="1" t="s">
        <v>35</v>
      </c>
      <c r="B109" s="1" t="s">
        <v>34</v>
      </c>
      <c r="C109" s="1" t="s">
        <v>160</v>
      </c>
      <c r="D109" s="1" t="s">
        <v>153</v>
      </c>
      <c r="E109" s="4">
        <v>1</v>
      </c>
      <c r="F109" s="5">
        <v>3304.69</v>
      </c>
    </row>
    <row r="110" spans="1:6" ht="22.05" customHeight="1">
      <c r="A110" s="8" t="s">
        <v>35</v>
      </c>
      <c r="B110" s="8" t="s">
        <v>44</v>
      </c>
      <c r="C110" s="8" t="s">
        <v>165</v>
      </c>
      <c r="D110" s="8" t="s">
        <v>153</v>
      </c>
      <c r="E110" s="7">
        <v>1</v>
      </c>
      <c r="F110" s="9">
        <v>3262.5</v>
      </c>
    </row>
    <row r="111" spans="1:6" ht="22.05" customHeight="1">
      <c r="A111" s="1" t="s">
        <v>35</v>
      </c>
      <c r="B111" s="1" t="s">
        <v>45</v>
      </c>
      <c r="C111" s="1" t="s">
        <v>166</v>
      </c>
      <c r="D111" s="1" t="s">
        <v>153</v>
      </c>
      <c r="E111" s="4">
        <v>1</v>
      </c>
      <c r="F111" s="4">
        <v>3120</v>
      </c>
    </row>
    <row r="112" spans="1:6" ht="22.05" customHeight="1">
      <c r="A112" s="8" t="s">
        <v>35</v>
      </c>
      <c r="B112" s="8" t="s">
        <v>31</v>
      </c>
      <c r="C112" s="8" t="s">
        <v>154</v>
      </c>
      <c r="D112" s="8" t="s">
        <v>153</v>
      </c>
      <c r="E112" s="7">
        <v>1</v>
      </c>
      <c r="F112" s="7">
        <v>2726</v>
      </c>
    </row>
    <row r="113" spans="1:6" ht="22.05" customHeight="1">
      <c r="A113" s="1" t="s">
        <v>46</v>
      </c>
      <c r="B113" s="1" t="s">
        <v>47</v>
      </c>
      <c r="C113" s="1" t="s">
        <v>115</v>
      </c>
      <c r="D113" s="1" t="s">
        <v>91</v>
      </c>
      <c r="E113" s="4">
        <v>1</v>
      </c>
      <c r="F113" s="4">
        <v>800</v>
      </c>
    </row>
    <row r="114" spans="1:6" ht="22.05" customHeight="1">
      <c r="A114" s="8" t="s">
        <v>46</v>
      </c>
      <c r="B114" s="8" t="s">
        <v>47</v>
      </c>
      <c r="C114" s="8" t="s">
        <v>115</v>
      </c>
      <c r="D114" s="8" t="s">
        <v>114</v>
      </c>
      <c r="E114" s="7">
        <v>1</v>
      </c>
      <c r="F114" s="7">
        <v>120</v>
      </c>
    </row>
    <row r="115" spans="1:6" ht="22.05" customHeight="1">
      <c r="A115" s="1" t="s">
        <v>46</v>
      </c>
      <c r="B115" s="1" t="s">
        <v>47</v>
      </c>
      <c r="C115" s="1" t="s">
        <v>266</v>
      </c>
      <c r="D115" s="1" t="s">
        <v>77</v>
      </c>
      <c r="E115" s="4">
        <v>1</v>
      </c>
      <c r="F115" s="4">
        <v>22908</v>
      </c>
    </row>
    <row r="116" spans="1:6" ht="22.05" customHeight="1">
      <c r="A116" s="8" t="s">
        <v>46</v>
      </c>
      <c r="B116" s="8" t="s">
        <v>47</v>
      </c>
      <c r="C116" s="8" t="s">
        <v>267</v>
      </c>
      <c r="D116" s="8" t="s">
        <v>84</v>
      </c>
      <c r="E116" s="7">
        <v>1</v>
      </c>
      <c r="F116" s="7">
        <v>3800</v>
      </c>
    </row>
    <row r="117" spans="1:6" ht="22.05" customHeight="1">
      <c r="A117" s="1" t="s">
        <v>46</v>
      </c>
      <c r="B117" s="1" t="s">
        <v>47</v>
      </c>
      <c r="C117" s="1" t="s">
        <v>268</v>
      </c>
      <c r="D117" s="1" t="s">
        <v>77</v>
      </c>
      <c r="E117" s="4">
        <v>1</v>
      </c>
      <c r="F117" s="4">
        <v>32154</v>
      </c>
    </row>
    <row r="118" spans="1:6" ht="22.05" customHeight="1">
      <c r="A118" s="8" t="s">
        <v>46</v>
      </c>
      <c r="B118" s="8" t="s">
        <v>47</v>
      </c>
      <c r="C118" s="8" t="s">
        <v>80</v>
      </c>
      <c r="D118" s="8" t="s">
        <v>79</v>
      </c>
      <c r="E118" s="7">
        <v>1</v>
      </c>
      <c r="F118" s="7">
        <v>51500</v>
      </c>
    </row>
    <row r="119" spans="1:6" ht="22.05" customHeight="1">
      <c r="A119" s="1" t="s">
        <v>46</v>
      </c>
      <c r="B119" s="1" t="s">
        <v>47</v>
      </c>
      <c r="C119" s="1" t="s">
        <v>80</v>
      </c>
      <c r="D119" s="1" t="s">
        <v>81</v>
      </c>
      <c r="E119" s="4">
        <v>1</v>
      </c>
      <c r="F119" s="4">
        <v>10000</v>
      </c>
    </row>
    <row r="120" spans="1:6" ht="22.05" customHeight="1">
      <c r="A120" s="8" t="s">
        <v>46</v>
      </c>
      <c r="B120" s="8" t="s">
        <v>47</v>
      </c>
      <c r="C120" s="8" t="s">
        <v>80</v>
      </c>
      <c r="D120" s="8" t="s">
        <v>100</v>
      </c>
      <c r="E120" s="7">
        <v>1</v>
      </c>
      <c r="F120" s="7">
        <v>625</v>
      </c>
    </row>
    <row r="121" spans="1:6" ht="22.05" customHeight="1">
      <c r="A121" s="1" t="s">
        <v>46</v>
      </c>
      <c r="B121" s="1" t="s">
        <v>47</v>
      </c>
      <c r="C121" s="1" t="s">
        <v>269</v>
      </c>
      <c r="D121" s="1" t="s">
        <v>77</v>
      </c>
      <c r="E121" s="4">
        <v>1</v>
      </c>
      <c r="F121" s="4">
        <v>26588</v>
      </c>
    </row>
    <row r="122" spans="1:6" ht="22.05" customHeight="1">
      <c r="A122" s="8" t="s">
        <v>46</v>
      </c>
      <c r="B122" s="8" t="s">
        <v>47</v>
      </c>
      <c r="C122" s="8" t="s">
        <v>111</v>
      </c>
      <c r="D122" s="8" t="s">
        <v>84</v>
      </c>
      <c r="E122" s="7">
        <v>1</v>
      </c>
      <c r="F122" s="7">
        <v>3800</v>
      </c>
    </row>
    <row r="123" spans="1:6" ht="22.05" customHeight="1">
      <c r="A123" s="1" t="s">
        <v>46</v>
      </c>
      <c r="B123" s="1" t="s">
        <v>47</v>
      </c>
      <c r="C123" s="1" t="s">
        <v>111</v>
      </c>
      <c r="D123" s="1" t="s">
        <v>110</v>
      </c>
      <c r="E123" s="4">
        <v>1</v>
      </c>
      <c r="F123" s="4">
        <v>180</v>
      </c>
    </row>
    <row r="124" spans="1:6" ht="22.05" customHeight="1">
      <c r="A124" s="8" t="s">
        <v>46</v>
      </c>
      <c r="B124" s="8" t="s">
        <v>47</v>
      </c>
      <c r="C124" s="8" t="s">
        <v>89</v>
      </c>
      <c r="D124" s="8" t="s">
        <v>88</v>
      </c>
      <c r="E124" s="7">
        <v>1</v>
      </c>
      <c r="F124" s="7">
        <v>1900</v>
      </c>
    </row>
    <row r="125" spans="1:6" ht="22.05" customHeight="1">
      <c r="A125" s="1" t="s">
        <v>46</v>
      </c>
      <c r="B125" s="1" t="s">
        <v>47</v>
      </c>
      <c r="C125" s="1" t="s">
        <v>89</v>
      </c>
      <c r="D125" s="1" t="s">
        <v>90</v>
      </c>
      <c r="E125" s="4">
        <v>1</v>
      </c>
      <c r="F125" s="4">
        <v>1900</v>
      </c>
    </row>
    <row r="126" spans="1:6" ht="22.05" customHeight="1">
      <c r="A126" s="8" t="s">
        <v>46</v>
      </c>
      <c r="B126" s="8" t="s">
        <v>47</v>
      </c>
      <c r="C126" s="8" t="s">
        <v>89</v>
      </c>
      <c r="D126" s="8" t="s">
        <v>93</v>
      </c>
      <c r="E126" s="7">
        <v>1</v>
      </c>
      <c r="F126" s="7">
        <v>900</v>
      </c>
    </row>
    <row r="127" spans="1:6" ht="22.05" customHeight="1">
      <c r="A127" s="1" t="s">
        <v>46</v>
      </c>
      <c r="B127" s="1" t="s">
        <v>47</v>
      </c>
      <c r="C127" s="1" t="s">
        <v>89</v>
      </c>
      <c r="D127" s="1" t="s">
        <v>109</v>
      </c>
      <c r="E127" s="4">
        <v>1</v>
      </c>
      <c r="F127" s="4">
        <v>270</v>
      </c>
    </row>
    <row r="128" spans="1:6" ht="22.05" customHeight="1">
      <c r="A128" s="8" t="s">
        <v>46</v>
      </c>
      <c r="B128" s="8" t="s">
        <v>47</v>
      </c>
      <c r="C128" s="8" t="s">
        <v>89</v>
      </c>
      <c r="D128" s="8" t="s">
        <v>113</v>
      </c>
      <c r="E128" s="7">
        <v>1</v>
      </c>
      <c r="F128" s="7">
        <v>130</v>
      </c>
    </row>
    <row r="129" spans="1:6" ht="22.05" customHeight="1">
      <c r="A129" s="1" t="s">
        <v>46</v>
      </c>
      <c r="B129" s="1" t="s">
        <v>47</v>
      </c>
      <c r="C129" s="1" t="s">
        <v>89</v>
      </c>
      <c r="D129" s="1" t="s">
        <v>119</v>
      </c>
      <c r="E129" s="4">
        <v>1</v>
      </c>
      <c r="F129" s="4">
        <v>90</v>
      </c>
    </row>
    <row r="130" spans="1:6" ht="22.05" customHeight="1">
      <c r="A130" s="8" t="s">
        <v>46</v>
      </c>
      <c r="B130" s="8" t="s">
        <v>47</v>
      </c>
      <c r="C130" s="8" t="s">
        <v>89</v>
      </c>
      <c r="D130" s="8" t="s">
        <v>117</v>
      </c>
      <c r="E130" s="7">
        <v>1</v>
      </c>
      <c r="F130" s="7">
        <v>70</v>
      </c>
    </row>
    <row r="131" spans="1:6" ht="22.05" customHeight="1">
      <c r="A131" s="1" t="s">
        <v>46</v>
      </c>
      <c r="B131" s="1" t="s">
        <v>47</v>
      </c>
      <c r="C131" s="1" t="s">
        <v>89</v>
      </c>
      <c r="D131" s="1" t="s">
        <v>122</v>
      </c>
      <c r="E131" s="4">
        <v>1</v>
      </c>
      <c r="F131" s="4">
        <v>60</v>
      </c>
    </row>
    <row r="132" spans="1:6" ht="22.05" customHeight="1">
      <c r="A132" s="8" t="s">
        <v>46</v>
      </c>
      <c r="B132" s="8" t="s">
        <v>47</v>
      </c>
      <c r="C132" s="8" t="s">
        <v>89</v>
      </c>
      <c r="D132" s="8" t="s">
        <v>123</v>
      </c>
      <c r="E132" s="7">
        <v>1</v>
      </c>
      <c r="F132" s="7">
        <v>40</v>
      </c>
    </row>
    <row r="133" spans="1:6" ht="22.05" customHeight="1">
      <c r="A133" s="1" t="s">
        <v>46</v>
      </c>
      <c r="B133" s="1" t="s">
        <v>47</v>
      </c>
      <c r="C133" s="1" t="s">
        <v>89</v>
      </c>
      <c r="D133" s="1" t="s">
        <v>120</v>
      </c>
      <c r="E133" s="4">
        <v>1</v>
      </c>
      <c r="F133" s="4">
        <v>30</v>
      </c>
    </row>
    <row r="134" spans="1:6" ht="22.05" customHeight="1">
      <c r="A134" s="8" t="s">
        <v>46</v>
      </c>
      <c r="B134" s="8" t="s">
        <v>47</v>
      </c>
      <c r="C134" s="8" t="s">
        <v>95</v>
      </c>
      <c r="D134" s="8" t="s">
        <v>94</v>
      </c>
      <c r="E134" s="7">
        <v>1</v>
      </c>
      <c r="F134" s="7">
        <v>900</v>
      </c>
    </row>
    <row r="135" spans="1:6" ht="22.05" customHeight="1">
      <c r="A135" s="1" t="s">
        <v>46</v>
      </c>
      <c r="B135" s="1" t="s">
        <v>47</v>
      </c>
      <c r="C135" s="1" t="s">
        <v>95</v>
      </c>
      <c r="D135" s="1" t="s">
        <v>91</v>
      </c>
      <c r="E135" s="4">
        <v>1</v>
      </c>
      <c r="F135" s="4">
        <v>800</v>
      </c>
    </row>
    <row r="136" spans="1:6" ht="22.05" customHeight="1">
      <c r="A136" s="8" t="s">
        <v>46</v>
      </c>
      <c r="B136" s="8" t="s">
        <v>47</v>
      </c>
      <c r="C136" s="8" t="s">
        <v>95</v>
      </c>
      <c r="D136" s="8" t="s">
        <v>99</v>
      </c>
      <c r="E136" s="7">
        <v>1</v>
      </c>
      <c r="F136" s="7">
        <v>750</v>
      </c>
    </row>
    <row r="137" spans="1:6" ht="22.05" customHeight="1">
      <c r="A137" s="1" t="s">
        <v>46</v>
      </c>
      <c r="B137" s="1" t="s">
        <v>47</v>
      </c>
      <c r="C137" s="1" t="s">
        <v>95</v>
      </c>
      <c r="D137" s="1" t="s">
        <v>103</v>
      </c>
      <c r="E137" s="4">
        <v>1</v>
      </c>
      <c r="F137" s="4">
        <v>450</v>
      </c>
    </row>
    <row r="138" spans="1:6" ht="22.05" customHeight="1">
      <c r="A138" s="8" t="s">
        <v>46</v>
      </c>
      <c r="B138" s="8" t="s">
        <v>47</v>
      </c>
      <c r="C138" s="8" t="s">
        <v>95</v>
      </c>
      <c r="D138" s="8" t="s">
        <v>112</v>
      </c>
      <c r="E138" s="7">
        <v>1</v>
      </c>
      <c r="F138" s="7">
        <v>150</v>
      </c>
    </row>
    <row r="139" spans="1:6" ht="22.05" customHeight="1">
      <c r="A139" s="1" t="s">
        <v>46</v>
      </c>
      <c r="B139" s="1" t="s">
        <v>47</v>
      </c>
      <c r="C139" s="1" t="s">
        <v>95</v>
      </c>
      <c r="D139" s="1" t="s">
        <v>117</v>
      </c>
      <c r="E139" s="4">
        <v>1</v>
      </c>
      <c r="F139" s="4">
        <v>35</v>
      </c>
    </row>
    <row r="140" spans="1:6" ht="22.05" customHeight="1">
      <c r="A140" s="8" t="s">
        <v>46</v>
      </c>
      <c r="B140" s="8" t="s">
        <v>47</v>
      </c>
      <c r="C140" s="8" t="s">
        <v>95</v>
      </c>
      <c r="D140" s="8" t="s">
        <v>120</v>
      </c>
      <c r="E140" s="7">
        <v>1</v>
      </c>
      <c r="F140" s="7">
        <v>30</v>
      </c>
    </row>
    <row r="141" spans="1:6" ht="22.05" customHeight="1">
      <c r="A141" s="1" t="s">
        <v>46</v>
      </c>
      <c r="B141" s="1" t="s">
        <v>47</v>
      </c>
      <c r="C141" s="1" t="s">
        <v>95</v>
      </c>
      <c r="D141" s="1" t="s">
        <v>124</v>
      </c>
      <c r="E141" s="4">
        <v>1</v>
      </c>
      <c r="F141" s="4">
        <v>10</v>
      </c>
    </row>
    <row r="142" spans="1:6" ht="22.05" customHeight="1">
      <c r="A142" s="8" t="s">
        <v>46</v>
      </c>
      <c r="B142" s="8" t="s">
        <v>47</v>
      </c>
      <c r="C142" s="8" t="s">
        <v>97</v>
      </c>
      <c r="D142" s="8" t="s">
        <v>96</v>
      </c>
      <c r="E142" s="7">
        <v>1</v>
      </c>
      <c r="F142" s="7">
        <v>750</v>
      </c>
    </row>
    <row r="143" spans="1:6" ht="22.05" customHeight="1">
      <c r="A143" s="1" t="s">
        <v>46</v>
      </c>
      <c r="B143" s="1" t="s">
        <v>47</v>
      </c>
      <c r="C143" s="1" t="s">
        <v>97</v>
      </c>
      <c r="D143" s="1" t="s">
        <v>98</v>
      </c>
      <c r="E143" s="4">
        <v>1</v>
      </c>
      <c r="F143" s="4">
        <v>750</v>
      </c>
    </row>
    <row r="144" spans="1:6" ht="22.05" customHeight="1">
      <c r="A144" s="8" t="s">
        <v>46</v>
      </c>
      <c r="B144" s="8" t="s">
        <v>47</v>
      </c>
      <c r="C144" s="8" t="s">
        <v>97</v>
      </c>
      <c r="D144" s="8" t="s">
        <v>101</v>
      </c>
      <c r="E144" s="7">
        <v>1</v>
      </c>
      <c r="F144" s="7">
        <v>550</v>
      </c>
    </row>
    <row r="145" spans="1:6" ht="22.05" customHeight="1">
      <c r="A145" s="1" t="s">
        <v>46</v>
      </c>
      <c r="B145" s="1" t="s">
        <v>47</v>
      </c>
      <c r="C145" s="1" t="s">
        <v>97</v>
      </c>
      <c r="D145" s="1" t="s">
        <v>102</v>
      </c>
      <c r="E145" s="4">
        <v>1</v>
      </c>
      <c r="F145" s="4">
        <v>450</v>
      </c>
    </row>
    <row r="146" spans="1:6" ht="22.05" customHeight="1">
      <c r="A146" s="8" t="s">
        <v>46</v>
      </c>
      <c r="B146" s="8" t="s">
        <v>47</v>
      </c>
      <c r="C146" s="8" t="s">
        <v>97</v>
      </c>
      <c r="D146" s="8" t="s">
        <v>104</v>
      </c>
      <c r="E146" s="7">
        <v>1</v>
      </c>
      <c r="F146" s="7">
        <v>450</v>
      </c>
    </row>
    <row r="147" spans="1:6" ht="22.05" customHeight="1">
      <c r="A147" s="1" t="s">
        <v>46</v>
      </c>
      <c r="B147" s="1" t="s">
        <v>47</v>
      </c>
      <c r="C147" s="1" t="s">
        <v>97</v>
      </c>
      <c r="D147" s="1" t="s">
        <v>105</v>
      </c>
      <c r="E147" s="4">
        <v>1</v>
      </c>
      <c r="F147" s="4">
        <v>450</v>
      </c>
    </row>
    <row r="148" spans="1:6" ht="22.05" customHeight="1">
      <c r="A148" s="8" t="s">
        <v>46</v>
      </c>
      <c r="B148" s="8" t="s">
        <v>47</v>
      </c>
      <c r="C148" s="8" t="s">
        <v>97</v>
      </c>
      <c r="D148" s="8" t="s">
        <v>106</v>
      </c>
      <c r="E148" s="7">
        <v>1</v>
      </c>
      <c r="F148" s="7">
        <v>375</v>
      </c>
    </row>
    <row r="149" spans="1:6" ht="22.05" customHeight="1">
      <c r="A149" s="1" t="s">
        <v>46</v>
      </c>
      <c r="B149" s="1" t="s">
        <v>47</v>
      </c>
      <c r="C149" s="1" t="s">
        <v>97</v>
      </c>
      <c r="D149" s="1" t="s">
        <v>107</v>
      </c>
      <c r="E149" s="4">
        <v>1</v>
      </c>
      <c r="F149" s="4">
        <v>300</v>
      </c>
    </row>
    <row r="150" spans="1:6" ht="22.05" customHeight="1">
      <c r="A150" s="8" t="s">
        <v>46</v>
      </c>
      <c r="B150" s="8" t="s">
        <v>47</v>
      </c>
      <c r="C150" s="8" t="s">
        <v>97</v>
      </c>
      <c r="D150" s="8" t="s">
        <v>108</v>
      </c>
      <c r="E150" s="7">
        <v>1</v>
      </c>
      <c r="F150" s="7">
        <v>300</v>
      </c>
    </row>
    <row r="151" spans="1:6" ht="22.05" customHeight="1">
      <c r="A151" s="1" t="s">
        <v>46</v>
      </c>
      <c r="B151" s="1" t="s">
        <v>47</v>
      </c>
      <c r="C151" s="1" t="s">
        <v>97</v>
      </c>
      <c r="D151" s="1" t="s">
        <v>116</v>
      </c>
      <c r="E151" s="4">
        <v>1</v>
      </c>
      <c r="F151" s="4">
        <v>120</v>
      </c>
    </row>
    <row r="152" spans="1:6" ht="22.05" customHeight="1">
      <c r="A152" s="8" t="s">
        <v>46</v>
      </c>
      <c r="B152" s="8" t="s">
        <v>47</v>
      </c>
      <c r="C152" s="8" t="s">
        <v>97</v>
      </c>
      <c r="D152" s="8" t="s">
        <v>121</v>
      </c>
      <c r="E152" s="7">
        <v>1</v>
      </c>
      <c r="F152" s="7">
        <v>60</v>
      </c>
    </row>
    <row r="153" spans="1:6" ht="22.05" customHeight="1">
      <c r="A153" s="1" t="s">
        <v>46</v>
      </c>
      <c r="B153" s="1" t="s">
        <v>47</v>
      </c>
      <c r="C153" s="1" t="s">
        <v>83</v>
      </c>
      <c r="D153" s="1" t="s">
        <v>82</v>
      </c>
      <c r="E153" s="4">
        <v>1</v>
      </c>
      <c r="F153" s="4">
        <v>8000</v>
      </c>
    </row>
    <row r="154" spans="1:6" ht="22.05" customHeight="1">
      <c r="A154" s="8" t="s">
        <v>46</v>
      </c>
      <c r="B154" s="8" t="s">
        <v>47</v>
      </c>
      <c r="C154" s="8" t="s">
        <v>83</v>
      </c>
      <c r="D154" s="8" t="s">
        <v>86</v>
      </c>
      <c r="E154" s="7">
        <v>1</v>
      </c>
      <c r="F154" s="7">
        <v>2900</v>
      </c>
    </row>
    <row r="155" spans="1:6" ht="22.05" customHeight="1">
      <c r="A155" s="1" t="s">
        <v>46</v>
      </c>
      <c r="B155" s="1" t="s">
        <v>47</v>
      </c>
      <c r="C155" s="1" t="s">
        <v>83</v>
      </c>
      <c r="D155" s="1" t="s">
        <v>87</v>
      </c>
      <c r="E155" s="4">
        <v>1</v>
      </c>
      <c r="F155" s="4">
        <v>2600</v>
      </c>
    </row>
    <row r="156" spans="1:6" ht="22.05" customHeight="1">
      <c r="A156" s="8" t="s">
        <v>48</v>
      </c>
      <c r="B156" s="8" t="s">
        <v>15</v>
      </c>
      <c r="C156" s="8" t="s">
        <v>270</v>
      </c>
      <c r="D156" s="8" t="s">
        <v>73</v>
      </c>
      <c r="E156" s="7">
        <v>1</v>
      </c>
      <c r="F156" s="9">
        <v>26447.85</v>
      </c>
    </row>
    <row r="157" spans="1:6" ht="22.05" customHeight="1">
      <c r="A157" s="1" t="s">
        <v>48</v>
      </c>
      <c r="B157" s="1" t="s">
        <v>21</v>
      </c>
      <c r="C157" s="1" t="s">
        <v>271</v>
      </c>
      <c r="D157" s="1" t="s">
        <v>130</v>
      </c>
      <c r="E157" s="4">
        <v>1</v>
      </c>
      <c r="F157" s="5">
        <v>11095.5</v>
      </c>
    </row>
    <row r="158" spans="1:6" ht="22.05" customHeight="1">
      <c r="A158" s="8" t="s">
        <v>48</v>
      </c>
      <c r="B158" s="8" t="s">
        <v>26</v>
      </c>
      <c r="C158" s="8" t="s">
        <v>272</v>
      </c>
      <c r="D158" s="8" t="s">
        <v>130</v>
      </c>
      <c r="E158" s="7">
        <v>1</v>
      </c>
      <c r="F158" s="9">
        <v>10667.54</v>
      </c>
    </row>
    <row r="159" spans="1:6" ht="22.05" customHeight="1">
      <c r="A159" s="1" t="s">
        <v>48</v>
      </c>
      <c r="B159" s="1" t="s">
        <v>27</v>
      </c>
      <c r="C159" s="1" t="s">
        <v>273</v>
      </c>
      <c r="D159" s="1" t="s">
        <v>130</v>
      </c>
      <c r="E159" s="4">
        <v>1</v>
      </c>
      <c r="F159" s="5">
        <v>9913.5400000000009</v>
      </c>
    </row>
    <row r="160" spans="1:6" ht="22.05" customHeight="1">
      <c r="A160" s="8" t="s">
        <v>48</v>
      </c>
      <c r="B160" s="8" t="s">
        <v>23</v>
      </c>
      <c r="C160" s="8" t="s">
        <v>274</v>
      </c>
      <c r="D160" s="8" t="s">
        <v>130</v>
      </c>
      <c r="E160" s="7">
        <v>1</v>
      </c>
      <c r="F160" s="9">
        <v>9884.68</v>
      </c>
    </row>
    <row r="161" spans="1:6" ht="22.05" customHeight="1">
      <c r="A161" s="1" t="s">
        <v>48</v>
      </c>
      <c r="B161" s="1" t="s">
        <v>24</v>
      </c>
      <c r="C161" s="1" t="s">
        <v>275</v>
      </c>
      <c r="D161" s="1" t="s">
        <v>130</v>
      </c>
      <c r="E161" s="4">
        <v>1</v>
      </c>
      <c r="F161" s="5">
        <v>9816.0400000000009</v>
      </c>
    </row>
    <row r="162" spans="1:6" ht="22.05" customHeight="1">
      <c r="A162" s="8" t="s">
        <v>48</v>
      </c>
      <c r="B162" s="8" t="s">
        <v>28</v>
      </c>
      <c r="C162" s="8" t="s">
        <v>276</v>
      </c>
      <c r="D162" s="8" t="s">
        <v>130</v>
      </c>
      <c r="E162" s="7">
        <v>1</v>
      </c>
      <c r="F162" s="9">
        <v>9130.94</v>
      </c>
    </row>
    <row r="163" spans="1:6" ht="22.05" customHeight="1">
      <c r="A163" s="1" t="s">
        <v>48</v>
      </c>
      <c r="B163" s="1" t="s">
        <v>25</v>
      </c>
      <c r="C163" s="1" t="s">
        <v>277</v>
      </c>
      <c r="D163" s="1" t="s">
        <v>130</v>
      </c>
      <c r="E163" s="4">
        <v>1</v>
      </c>
      <c r="F163" s="5">
        <v>2004.86</v>
      </c>
    </row>
    <row r="164" spans="1:6" ht="25.95" customHeight="1">
      <c r="A164" s="12" t="s">
        <v>49</v>
      </c>
      <c r="B164" s="12"/>
      <c r="C164" s="12"/>
      <c r="D164" s="12"/>
      <c r="E164" s="11">
        <v>159</v>
      </c>
      <c r="F164" s="12">
        <v>1842597.5</v>
      </c>
    </row>
  </sheetData>
  <autoFilter ref="A4:F164" xr:uid="{00000000-0009-0000-0000-000005000000}"/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لوحة الملخص</vt:lpstr>
      <vt:lpstr>ملخص</vt:lpstr>
      <vt:lpstr>تفاصيل المراكز</vt:lpstr>
      <vt:lpstr>ملخص العملاء</vt:lpstr>
      <vt:lpstr>العملاء × المراكز</vt:lpstr>
      <vt:lpstr>تفاصيل العملاء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تحليل مراكز التكلفة</dc:title>
  <dc:subject>تحليل المبيعات حسب مراكز التكلفة والعملاء</dc:subject>
  <dc:creator>لوحة تحليل التكلفة</dc:creator>
  <cp:lastModifiedBy>beteny181@gmail.com</cp:lastModifiedBy>
  <dcterms:created xsi:type="dcterms:W3CDTF">2026-10-24T08:46:29Z</dcterms:created>
  <dcterms:modified xsi:type="dcterms:W3CDTF">2026-10-24T09:41:37Z</dcterms:modified>
</cp:coreProperties>
</file>